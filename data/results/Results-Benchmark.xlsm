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ygwin64\home\neo_f\ML\data\results\"/>
    </mc:Choice>
  </mc:AlternateContent>
  <bookViews>
    <workbookView xWindow="0" yWindow="1800" windowWidth="17985" windowHeight="5768"/>
  </bookViews>
  <sheets>
    <sheet name="Graph" sheetId="5" r:id="rId1"/>
    <sheet name="Calcul" sheetId="1" r:id="rId2"/>
    <sheet name="Data" sheetId="4" r:id="rId3"/>
  </sheets>
  <definedNames>
    <definedName name="DonnéesExternes_1" localSheetId="2" hidden="1">Data!$A$1:$H$9</definedName>
  </definedNames>
  <calcPr calcId="162913"/>
  <pivotCaches>
    <pivotCache cacheId="6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5" l="1"/>
  <c r="K6" i="5"/>
  <c r="K4" i="5"/>
  <c r="J6" i="5"/>
  <c r="J5" i="5"/>
  <c r="J7" i="5"/>
  <c r="K7" i="5" s="1"/>
  <c r="L4" i="5"/>
  <c r="M4" i="5" s="1"/>
  <c r="J4" i="5"/>
  <c r="L7" i="5" l="1"/>
  <c r="M7" i="5" s="1"/>
  <c r="L5" i="5"/>
  <c r="M5" i="5" s="1"/>
  <c r="L6" i="5"/>
  <c r="M6" i="5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B3" i="1"/>
  <c r="M3" i="1" s="1"/>
  <c r="C3" i="1"/>
  <c r="D3" i="1"/>
  <c r="E3" i="1"/>
  <c r="F3" i="1"/>
  <c r="G3" i="1"/>
  <c r="B4" i="1"/>
  <c r="M4" i="1" s="1"/>
  <c r="C4" i="1"/>
  <c r="D4" i="1"/>
  <c r="E4" i="1"/>
  <c r="F4" i="1"/>
  <c r="G4" i="1"/>
  <c r="B5" i="1"/>
  <c r="C5" i="1"/>
  <c r="D5" i="1"/>
  <c r="E5" i="1"/>
  <c r="F5" i="1"/>
  <c r="G5" i="1"/>
  <c r="B6" i="1"/>
  <c r="C6" i="1"/>
  <c r="D6" i="1"/>
  <c r="E6" i="1"/>
  <c r="F6" i="1"/>
  <c r="G6" i="1"/>
  <c r="B7" i="1"/>
  <c r="C7" i="1"/>
  <c r="D7" i="1"/>
  <c r="E7" i="1"/>
  <c r="F7" i="1"/>
  <c r="G7" i="1"/>
  <c r="B8" i="1"/>
  <c r="C8" i="1"/>
  <c r="D8" i="1"/>
  <c r="E8" i="1"/>
  <c r="F8" i="1"/>
  <c r="G8" i="1"/>
  <c r="B9" i="1"/>
  <c r="C9" i="1"/>
  <c r="D9" i="1"/>
  <c r="E9" i="1"/>
  <c r="F9" i="1"/>
  <c r="G9" i="1"/>
  <c r="B10" i="1"/>
  <c r="C10" i="1"/>
  <c r="D10" i="1"/>
  <c r="E10" i="1"/>
  <c r="F10" i="1"/>
  <c r="G10" i="1"/>
  <c r="B11" i="1"/>
  <c r="C11" i="1"/>
  <c r="D11" i="1"/>
  <c r="E11" i="1"/>
  <c r="F11" i="1"/>
  <c r="G11" i="1"/>
  <c r="B12" i="1"/>
  <c r="C12" i="1"/>
  <c r="D12" i="1"/>
  <c r="E12" i="1"/>
  <c r="F12" i="1"/>
  <c r="G12" i="1"/>
  <c r="B13" i="1"/>
  <c r="C13" i="1"/>
  <c r="D13" i="1"/>
  <c r="E13" i="1"/>
  <c r="F13" i="1"/>
  <c r="G13" i="1"/>
  <c r="B14" i="1"/>
  <c r="C14" i="1"/>
  <c r="D14" i="1"/>
  <c r="E14" i="1"/>
  <c r="F14" i="1"/>
  <c r="G14" i="1"/>
  <c r="B15" i="1"/>
  <c r="C15" i="1"/>
  <c r="D15" i="1"/>
  <c r="E15" i="1"/>
  <c r="F15" i="1"/>
  <c r="G15" i="1"/>
  <c r="B16" i="1"/>
  <c r="C16" i="1"/>
  <c r="D16" i="1"/>
  <c r="E16" i="1"/>
  <c r="F16" i="1"/>
  <c r="G16" i="1"/>
  <c r="B17" i="1"/>
  <c r="C17" i="1"/>
  <c r="D17" i="1"/>
  <c r="E17" i="1"/>
  <c r="F17" i="1"/>
  <c r="G17" i="1"/>
  <c r="B18" i="1"/>
  <c r="C18" i="1"/>
  <c r="D18" i="1"/>
  <c r="E18" i="1"/>
  <c r="F18" i="1"/>
  <c r="G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5" i="1"/>
  <c r="C25" i="1"/>
  <c r="D25" i="1"/>
  <c r="E25" i="1"/>
  <c r="F25" i="1"/>
  <c r="G25" i="1"/>
  <c r="B26" i="1"/>
  <c r="C26" i="1"/>
  <c r="D26" i="1"/>
  <c r="E26" i="1"/>
  <c r="F26" i="1"/>
  <c r="G26" i="1"/>
  <c r="B27" i="1"/>
  <c r="C27" i="1"/>
  <c r="D27" i="1"/>
  <c r="E27" i="1"/>
  <c r="F27" i="1"/>
  <c r="G27" i="1"/>
  <c r="B28" i="1"/>
  <c r="C28" i="1"/>
  <c r="D28" i="1"/>
  <c r="E28" i="1"/>
  <c r="F28" i="1"/>
  <c r="G28" i="1"/>
  <c r="B29" i="1"/>
  <c r="C29" i="1"/>
  <c r="D29" i="1"/>
  <c r="E29" i="1"/>
  <c r="F29" i="1"/>
  <c r="G29" i="1"/>
  <c r="B30" i="1"/>
  <c r="C30" i="1"/>
  <c r="D30" i="1"/>
  <c r="E30" i="1"/>
  <c r="F30" i="1"/>
  <c r="G30" i="1"/>
  <c r="B31" i="1"/>
  <c r="C31" i="1"/>
  <c r="D31" i="1"/>
  <c r="E31" i="1"/>
  <c r="F31" i="1"/>
  <c r="G31" i="1"/>
  <c r="B32" i="1"/>
  <c r="C32" i="1"/>
  <c r="D32" i="1"/>
  <c r="E32" i="1"/>
  <c r="F32" i="1"/>
  <c r="G32" i="1"/>
  <c r="B33" i="1"/>
  <c r="C33" i="1"/>
  <c r="D33" i="1"/>
  <c r="E33" i="1"/>
  <c r="F33" i="1"/>
  <c r="G33" i="1"/>
  <c r="B34" i="1"/>
  <c r="C34" i="1"/>
  <c r="D34" i="1"/>
  <c r="E34" i="1"/>
  <c r="F34" i="1"/>
  <c r="G34" i="1"/>
  <c r="B35" i="1"/>
  <c r="C35" i="1"/>
  <c r="D35" i="1"/>
  <c r="E35" i="1"/>
  <c r="F35" i="1"/>
  <c r="G35" i="1"/>
  <c r="B36" i="1"/>
  <c r="C36" i="1"/>
  <c r="D36" i="1"/>
  <c r="E36" i="1"/>
  <c r="F36" i="1"/>
  <c r="G36" i="1"/>
  <c r="B37" i="1"/>
  <c r="C37" i="1"/>
  <c r="D37" i="1"/>
  <c r="E37" i="1"/>
  <c r="F37" i="1"/>
  <c r="G37" i="1"/>
  <c r="B38" i="1"/>
  <c r="C38" i="1"/>
  <c r="D38" i="1"/>
  <c r="E38" i="1"/>
  <c r="F38" i="1"/>
  <c r="G38" i="1"/>
  <c r="B39" i="1"/>
  <c r="C39" i="1"/>
  <c r="D39" i="1"/>
  <c r="E39" i="1"/>
  <c r="F39" i="1"/>
  <c r="G39" i="1"/>
  <c r="B40" i="1"/>
  <c r="C40" i="1"/>
  <c r="D40" i="1"/>
  <c r="E40" i="1"/>
  <c r="F40" i="1"/>
  <c r="G40" i="1"/>
  <c r="C2" i="1"/>
  <c r="D2" i="1"/>
  <c r="E2" i="1"/>
  <c r="F2" i="1"/>
  <c r="G2" i="1"/>
  <c r="B2" i="1"/>
  <c r="M2" i="1" s="1"/>
  <c r="I31" i="1" l="1"/>
  <c r="M31" i="1"/>
  <c r="I15" i="1"/>
  <c r="M15" i="1"/>
  <c r="M7" i="1"/>
  <c r="I23" i="1"/>
  <c r="M23" i="1"/>
  <c r="I40" i="1"/>
  <c r="M40" i="1"/>
  <c r="J36" i="1"/>
  <c r="M36" i="1"/>
  <c r="I32" i="1"/>
  <c r="M32" i="1"/>
  <c r="J28" i="1"/>
  <c r="M28" i="1"/>
  <c r="I24" i="1"/>
  <c r="M24" i="1"/>
  <c r="J20" i="1"/>
  <c r="M20" i="1"/>
  <c r="I16" i="1"/>
  <c r="M16" i="1"/>
  <c r="J12" i="1"/>
  <c r="M12" i="1"/>
  <c r="M8" i="1"/>
  <c r="K11" i="1"/>
  <c r="M11" i="1"/>
  <c r="I37" i="1"/>
  <c r="M37" i="1"/>
  <c r="L33" i="1"/>
  <c r="M33" i="1"/>
  <c r="I29" i="1"/>
  <c r="M29" i="1"/>
  <c r="I25" i="1"/>
  <c r="M25" i="1"/>
  <c r="I21" i="1"/>
  <c r="M21" i="1"/>
  <c r="I17" i="1"/>
  <c r="M17" i="1"/>
  <c r="I13" i="1"/>
  <c r="M13" i="1"/>
  <c r="M9" i="1"/>
  <c r="M5" i="1"/>
  <c r="K35" i="1"/>
  <c r="M35" i="1"/>
  <c r="K27" i="1"/>
  <c r="M27" i="1"/>
  <c r="K19" i="1"/>
  <c r="M19" i="1"/>
  <c r="I38" i="1"/>
  <c r="M38" i="1"/>
  <c r="L34" i="1"/>
  <c r="M34" i="1"/>
  <c r="I30" i="1"/>
  <c r="M30" i="1"/>
  <c r="L26" i="1"/>
  <c r="M26" i="1"/>
  <c r="I22" i="1"/>
  <c r="M22" i="1"/>
  <c r="L18" i="1"/>
  <c r="M18" i="1"/>
  <c r="I14" i="1"/>
  <c r="M14" i="1"/>
  <c r="L10" i="1"/>
  <c r="M10" i="1"/>
  <c r="M6" i="1"/>
  <c r="I39" i="1"/>
  <c r="M39" i="1"/>
  <c r="I34" i="1"/>
  <c r="I26" i="1"/>
  <c r="I18" i="1"/>
  <c r="I10" i="1"/>
  <c r="J3" i="1"/>
  <c r="I33" i="1"/>
  <c r="I36" i="1"/>
  <c r="I28" i="1"/>
  <c r="I20" i="1"/>
  <c r="I12" i="1"/>
  <c r="I35" i="1"/>
  <c r="I27" i="1"/>
  <c r="I19" i="1"/>
  <c r="I11" i="1"/>
  <c r="L2" i="1"/>
  <c r="J19" i="1"/>
  <c r="K3" i="1"/>
  <c r="J11" i="1"/>
  <c r="J4" i="1"/>
  <c r="K34" i="1"/>
  <c r="K26" i="1"/>
  <c r="K18" i="1"/>
  <c r="J35" i="1"/>
  <c r="K10" i="1"/>
  <c r="J27" i="1"/>
  <c r="K2" i="1"/>
  <c r="L17" i="1"/>
  <c r="J34" i="1"/>
  <c r="J26" i="1"/>
  <c r="J18" i="1"/>
  <c r="J10" i="1"/>
  <c r="J2" i="1"/>
  <c r="K33" i="1"/>
  <c r="K25" i="1"/>
  <c r="K17" i="1"/>
  <c r="K9" i="1"/>
  <c r="L40" i="1"/>
  <c r="L32" i="1"/>
  <c r="L24" i="1"/>
  <c r="L16" i="1"/>
  <c r="L8" i="1"/>
  <c r="L25" i="1"/>
  <c r="J33" i="1"/>
  <c r="J25" i="1"/>
  <c r="J17" i="1"/>
  <c r="J9" i="1"/>
  <c r="K40" i="1"/>
  <c r="K32" i="1"/>
  <c r="K24" i="1"/>
  <c r="K16" i="1"/>
  <c r="K8" i="1"/>
  <c r="L39" i="1"/>
  <c r="L31" i="1"/>
  <c r="L23" i="1"/>
  <c r="L15" i="1"/>
  <c r="L7" i="1"/>
  <c r="L9" i="1"/>
  <c r="J40" i="1"/>
  <c r="J32" i="1"/>
  <c r="J24" i="1"/>
  <c r="J16" i="1"/>
  <c r="J8" i="1"/>
  <c r="K39" i="1"/>
  <c r="K31" i="1"/>
  <c r="K23" i="1"/>
  <c r="K15" i="1"/>
  <c r="K7" i="1"/>
  <c r="L38" i="1"/>
  <c r="L30" i="1"/>
  <c r="L22" i="1"/>
  <c r="L14" i="1"/>
  <c r="L6" i="1"/>
  <c r="J39" i="1"/>
  <c r="J31" i="1"/>
  <c r="J23" i="1"/>
  <c r="J15" i="1"/>
  <c r="J7" i="1"/>
  <c r="K38" i="1"/>
  <c r="K30" i="1"/>
  <c r="K22" i="1"/>
  <c r="K14" i="1"/>
  <c r="K6" i="1"/>
  <c r="L37" i="1"/>
  <c r="L29" i="1"/>
  <c r="L21" i="1"/>
  <c r="L13" i="1"/>
  <c r="L5" i="1"/>
  <c r="J38" i="1"/>
  <c r="J30" i="1"/>
  <c r="J22" i="1"/>
  <c r="J14" i="1"/>
  <c r="J6" i="1"/>
  <c r="K37" i="1"/>
  <c r="K29" i="1"/>
  <c r="K21" i="1"/>
  <c r="K13" i="1"/>
  <c r="K5" i="1"/>
  <c r="L36" i="1"/>
  <c r="L28" i="1"/>
  <c r="L20" i="1"/>
  <c r="L12" i="1"/>
  <c r="L4" i="1"/>
  <c r="J37" i="1"/>
  <c r="J29" i="1"/>
  <c r="J21" i="1"/>
  <c r="J13" i="1"/>
  <c r="J5" i="1"/>
  <c r="K36" i="1"/>
  <c r="K28" i="1"/>
  <c r="K20" i="1"/>
  <c r="K12" i="1"/>
  <c r="K4" i="1"/>
  <c r="L35" i="1"/>
  <c r="L27" i="1"/>
  <c r="L19" i="1"/>
  <c r="L11" i="1"/>
  <c r="L3" i="1"/>
  <c r="O36" i="1"/>
  <c r="O37" i="1"/>
  <c r="O38" i="1"/>
  <c r="O39" i="1"/>
  <c r="O40" i="1"/>
  <c r="O2" i="1"/>
  <c r="I2" i="1" s="1"/>
  <c r="O3" i="1"/>
  <c r="I3" i="1" s="1"/>
  <c r="O4" i="1"/>
  <c r="I4" i="1" s="1"/>
  <c r="O5" i="1"/>
  <c r="I5" i="1" s="1"/>
  <c r="O6" i="1"/>
  <c r="I6" i="1" s="1"/>
  <c r="O7" i="1"/>
  <c r="I7" i="1" s="1"/>
  <c r="O8" i="1"/>
  <c r="I8" i="1" s="1"/>
  <c r="O9" i="1"/>
  <c r="I9" i="1" s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</calcChain>
</file>

<file path=xl/connections.xml><?xml version="1.0" encoding="utf-8"?>
<connections xmlns="http://schemas.openxmlformats.org/spreadsheetml/2006/main">
  <connection id="1" keepAlive="1" name="Requête - benchmark" description="Connexion à la requête « benchmark » dans le classeur." type="5" refreshedVersion="6" background="1" saveData="1">
    <dbPr connection="Provider=Microsoft.Mashup.OleDb.1;Data Source=$Workbook$;Location=benchmark;Extended Properties=&quot;&quot;" command="SELECT * FROM [benchmark]"/>
  </connection>
</connections>
</file>

<file path=xl/sharedStrings.xml><?xml version="1.0" encoding="utf-8"?>
<sst xmlns="http://schemas.openxmlformats.org/spreadsheetml/2006/main" count="90" uniqueCount="48">
  <si>
    <t>extract start</t>
  </si>
  <si>
    <t>extract time</t>
  </si>
  <si>
    <t>extract end</t>
  </si>
  <si>
    <t>train start</t>
  </si>
  <si>
    <t>train end</t>
  </si>
  <si>
    <t>train time</t>
  </si>
  <si>
    <t>accuracy</t>
  </si>
  <si>
    <t>Étiquettes de lignes</t>
  </si>
  <si>
    <t>Total général</t>
  </si>
  <si>
    <t>test start</t>
  </si>
  <si>
    <t>test end</t>
  </si>
  <si>
    <t>test time</t>
  </si>
  <si>
    <t>dataset size</t>
  </si>
  <si>
    <t>dataset size/nb_features</t>
  </si>
  <si>
    <t>nb_features</t>
  </si>
  <si>
    <t>category</t>
  </si>
  <si>
    <t>feature_type</t>
  </si>
  <si>
    <t>subcategory</t>
  </si>
  <si>
    <t>nb_feature</t>
  </si>
  <si>
    <t>dataset_size</t>
  </si>
  <si>
    <t>extract_start_time</t>
  </si>
  <si>
    <t>extract_end_time</t>
  </si>
  <si>
    <t>train_start_time</t>
  </si>
  <si>
    <t>train_end_time</t>
  </si>
  <si>
    <t>test_start_time</t>
  </si>
  <si>
    <t>test_end_time</t>
  </si>
  <si>
    <t>0.3939393939393939</t>
  </si>
  <si>
    <t>0.5037593984962406</t>
  </si>
  <si>
    <t>0.39</t>
  </si>
  <si>
    <t>Model accuracy (%)</t>
  </si>
  <si>
    <t>Extract time (min)</t>
  </si>
  <si>
    <t>Training time (min)</t>
  </si>
  <si>
    <t>Testing time (min)</t>
  </si>
  <si>
    <t>include</t>
  </si>
  <si>
    <t>VRAI</t>
  </si>
  <si>
    <t>0.38345864661654133</t>
  </si>
  <si>
    <t>0.4144144144144144</t>
  </si>
  <si>
    <t>0.3875</t>
  </si>
  <si>
    <t>0.36909871244635195</t>
  </si>
  <si>
    <t>x</t>
  </si>
  <si>
    <t>nb_document</t>
  </si>
  <si>
    <t>nb_categories</t>
  </si>
  <si>
    <t>expected y (min)</t>
  </si>
  <si>
    <t>expected y (h)</t>
  </si>
  <si>
    <t>expected y (days)</t>
  </si>
  <si>
    <t>find how many documents in 2 days</t>
  </si>
  <si>
    <t>0.40337711069418386</t>
  </si>
  <si>
    <t>1500 documents =&gt; 2days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</si>
</sst>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1" fontId="0" fillId="0" borderId="0" xfId="0" applyNumberFormat="1"/>
    <xf numFmtId="0" fontId="1" fillId="2" borderId="1" xfId="0" applyFont="1" applyFill="1" applyBorder="1"/>
    <xf numFmtId="1" fontId="0" fillId="0" borderId="0" xfId="0" applyNumberFormat="1"/>
    <xf numFmtId="0" fontId="0" fillId="0" borderId="0" xfId="0" applyNumberFormat="1"/>
    <xf numFmtId="164" fontId="0" fillId="0" borderId="0" xfId="0" applyNumberFormat="1"/>
    <xf numFmtId="9" fontId="0" fillId="0" borderId="0" xfId="1" applyFont="1"/>
    <xf numFmtId="1" fontId="0" fillId="0" borderId="0" xfId="0" applyNumberFormat="1" applyAlignment="1">
      <alignment horizontal="left"/>
    </xf>
    <xf numFmtId="0" fontId="0" fillId="0" borderId="0" xfId="0" applyAlignment="1">
      <alignment wrapText="1"/>
    </xf>
  </cellXfs>
  <cellStyles count="2">
    <cellStyle name="Normal" xfId="0" builtinId="0"/>
    <cellStyle name="Pourcentage" xfId="1" builtinId="5"/>
  </cellStyles>
  <dxfs count="34"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165" formatCode="0.0000000000"/>
    </dxf>
    <dxf>
      <numFmt numFmtId="166" formatCode="0.00000000000"/>
    </dxf>
    <dxf>
      <numFmt numFmtId="167" formatCode="0.000000000000"/>
    </dxf>
    <dxf>
      <numFmt numFmtId="168" formatCode="0.0000000000000"/>
    </dxf>
    <dxf>
      <numFmt numFmtId="167" formatCode="0.000000000000"/>
    </dxf>
    <dxf>
      <numFmt numFmtId="166" formatCode="0.00000000000"/>
    </dxf>
    <dxf>
      <numFmt numFmtId="165" formatCode="0.0000000000"/>
    </dxf>
    <dxf>
      <numFmt numFmtId="169" formatCode="0.000000000"/>
    </dxf>
    <dxf>
      <numFmt numFmtId="170" formatCode="0.00000000"/>
    </dxf>
    <dxf>
      <numFmt numFmtId="171" formatCode="0.0000000"/>
    </dxf>
    <dxf>
      <numFmt numFmtId="172" formatCode="0.000000"/>
    </dxf>
    <dxf>
      <numFmt numFmtId="173" formatCode="0.00000"/>
    </dxf>
    <dxf>
      <numFmt numFmtId="174" formatCode="0.0000"/>
    </dxf>
    <dxf>
      <numFmt numFmtId="175" formatCode="0.000"/>
    </dxf>
    <dxf>
      <numFmt numFmtId="2" formatCode="0.00"/>
    </dxf>
    <dxf>
      <numFmt numFmtId="176" formatCode="0.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/>
        </top>
        <bottom/>
      </border>
    </dxf>
    <dxf>
      <numFmt numFmtId="0" formatCode="General"/>
    </dxf>
    <dxf>
      <numFmt numFmtId="1" formatCode="0"/>
    </dxf>
    <dxf>
      <numFmt numFmtId="13" formatCode="0%"/>
    </dxf>
    <dxf>
      <numFmt numFmtId="26" formatCode="hh:mm:ss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[Results-Benchmark.xlsm]Graph!Tableau croisé dynamique5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Accuracy (%)</a:t>
            </a:r>
            <a:r>
              <a:rPr lang="en-US" baseline="0"/>
              <a:t> </a:t>
            </a:r>
            <a:r>
              <a:rPr lang="en-US"/>
              <a:t>and processing time (min)</a:t>
            </a:r>
            <a:r>
              <a:rPr lang="en-US" baseline="0"/>
              <a:t> VS nb_documents trained per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Model accuracy (%)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Graph!$A$4:$A$12</c:f>
              <c:strCache>
                <c:ptCount val="8"/>
                <c:pt idx="0">
                  <c:v>10</c:v>
                </c:pt>
                <c:pt idx="1">
                  <c:v>4</c:v>
                </c:pt>
                <c:pt idx="2">
                  <c:v>7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24</c:v>
                </c:pt>
                <c:pt idx="7">
                  <c:v>27</c:v>
                </c:pt>
              </c:strCache>
            </c:strRef>
          </c:cat>
          <c:val>
            <c:numRef>
              <c:f>Graph!$B$4:$B$12</c:f>
              <c:numCache>
                <c:formatCode>General</c:formatCode>
                <c:ptCount val="8"/>
                <c:pt idx="0">
                  <c:v>0.39</c:v>
                </c:pt>
                <c:pt idx="1">
                  <c:v>0.39</c:v>
                </c:pt>
                <c:pt idx="2">
                  <c:v>0.5</c:v>
                </c:pt>
                <c:pt idx="3">
                  <c:v>0.38</c:v>
                </c:pt>
                <c:pt idx="4">
                  <c:v>0.41</c:v>
                </c:pt>
                <c:pt idx="5">
                  <c:v>0.38</c:v>
                </c:pt>
                <c:pt idx="6">
                  <c:v>0.36</c:v>
                </c:pt>
                <c:pt idx="7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93-4E3D-92AF-7DABA960A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058568"/>
        <c:axId val="952066112"/>
      </c:lineChart>
      <c:lineChart>
        <c:grouping val="standard"/>
        <c:varyColors val="0"/>
        <c:ser>
          <c:idx val="1"/>
          <c:order val="1"/>
          <c:tx>
            <c:strRef>
              <c:f>Graph!$C$3</c:f>
              <c:strCache>
                <c:ptCount val="1"/>
                <c:pt idx="0">
                  <c:v>Extract time (min)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0085747155532075E-2"/>
                  <c:y val="-6.03136607924009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Graph!$A$4:$A$12</c:f>
              <c:strCache>
                <c:ptCount val="8"/>
                <c:pt idx="0">
                  <c:v>10</c:v>
                </c:pt>
                <c:pt idx="1">
                  <c:v>4</c:v>
                </c:pt>
                <c:pt idx="2">
                  <c:v>7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24</c:v>
                </c:pt>
                <c:pt idx="7">
                  <c:v>27</c:v>
                </c:pt>
              </c:strCache>
            </c:strRef>
          </c:cat>
          <c:val>
            <c:numRef>
              <c:f>Graph!$C$4:$C$12</c:f>
              <c:numCache>
                <c:formatCode>General</c:formatCode>
                <c:ptCount val="8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93-4E3D-92AF-7DABA960ABD1}"/>
            </c:ext>
          </c:extLst>
        </c:ser>
        <c:ser>
          <c:idx val="2"/>
          <c:order val="2"/>
          <c:tx>
            <c:strRef>
              <c:f>Graph!$D$3</c:f>
              <c:strCache>
                <c:ptCount val="1"/>
                <c:pt idx="0">
                  <c:v>Training time (min)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3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0479463124697715E-2"/>
                  <c:y val="6.14519185101862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Graph!$A$4:$A$12</c:f>
              <c:strCache>
                <c:ptCount val="8"/>
                <c:pt idx="0">
                  <c:v>10</c:v>
                </c:pt>
                <c:pt idx="1">
                  <c:v>4</c:v>
                </c:pt>
                <c:pt idx="2">
                  <c:v>7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24</c:v>
                </c:pt>
                <c:pt idx="7">
                  <c:v>27</c:v>
                </c:pt>
              </c:strCache>
            </c:strRef>
          </c:cat>
          <c:val>
            <c:numRef>
              <c:f>Graph!$D$4:$D$12</c:f>
              <c:numCache>
                <c:formatCode>General</c:formatCode>
                <c:ptCount val="8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6</c:v>
                </c:pt>
                <c:pt idx="4">
                  <c:v>10</c:v>
                </c:pt>
                <c:pt idx="5">
                  <c:v>13</c:v>
                </c:pt>
                <c:pt idx="6">
                  <c:v>17</c:v>
                </c:pt>
                <c:pt idx="7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93-4E3D-92AF-7DABA960ABD1}"/>
            </c:ext>
          </c:extLst>
        </c:ser>
        <c:ser>
          <c:idx val="3"/>
          <c:order val="3"/>
          <c:tx>
            <c:strRef>
              <c:f>Graph!$E$3</c:f>
              <c:strCache>
                <c:ptCount val="1"/>
                <c:pt idx="0">
                  <c:v>Testing time (min)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4"/>
                </a:solidFill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cat>
            <c:strRef>
              <c:f>Graph!$A$4:$A$12</c:f>
              <c:strCache>
                <c:ptCount val="8"/>
                <c:pt idx="0">
                  <c:v>10</c:v>
                </c:pt>
                <c:pt idx="1">
                  <c:v>4</c:v>
                </c:pt>
                <c:pt idx="2">
                  <c:v>7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24</c:v>
                </c:pt>
                <c:pt idx="7">
                  <c:v>27</c:v>
                </c:pt>
              </c:strCache>
            </c:strRef>
          </c:cat>
          <c:val>
            <c:numRef>
              <c:f>Graph!$E$4:$E$12</c:f>
              <c:numCache>
                <c:formatCode>General</c:formatCode>
                <c:ptCount val="8"/>
                <c:pt idx="0">
                  <c:v>9</c:v>
                </c:pt>
                <c:pt idx="1">
                  <c:v>1</c:v>
                </c:pt>
                <c:pt idx="2">
                  <c:v>5</c:v>
                </c:pt>
                <c:pt idx="3">
                  <c:v>16</c:v>
                </c:pt>
                <c:pt idx="4">
                  <c:v>26</c:v>
                </c:pt>
                <c:pt idx="5">
                  <c:v>37</c:v>
                </c:pt>
                <c:pt idx="6">
                  <c:v>47</c:v>
                </c:pt>
                <c:pt idx="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93-4E3D-92AF-7DABA960A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2068736"/>
        <c:axId val="952066768"/>
      </c:lineChart>
      <c:catAx>
        <c:axId val="952058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Nb documents</a:t>
                </a:r>
                <a:r>
                  <a:rPr lang="fr-CA" baseline="0"/>
                  <a:t> trained per category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66112"/>
        <c:crosses val="autoZero"/>
        <c:auto val="1"/>
        <c:lblAlgn val="ctr"/>
        <c:lblOffset val="100"/>
        <c:noMultiLvlLbl val="0"/>
      </c:catAx>
      <c:valAx>
        <c:axId val="95206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MODEL Accuracy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58568"/>
        <c:crosses val="autoZero"/>
        <c:crossBetween val="between"/>
      </c:valAx>
      <c:valAx>
        <c:axId val="952066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Processing</a:t>
                </a:r>
                <a:r>
                  <a:rPr lang="fr-CA" baseline="0"/>
                  <a:t> time (min)</a:t>
                </a:r>
                <a:endParaRPr lang="fr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068736"/>
        <c:crosses val="max"/>
        <c:crossBetween val="between"/>
      </c:valAx>
      <c:catAx>
        <c:axId val="952068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20667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8</xdr:row>
      <xdr:rowOff>100013</xdr:rowOff>
    </xdr:from>
    <xdr:to>
      <xdr:col>11</xdr:col>
      <xdr:colOff>471486</xdr:colOff>
      <xdr:row>36</xdr:row>
      <xdr:rowOff>33338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709613</xdr:colOff>
          <xdr:row>15</xdr:row>
          <xdr:rowOff>57150</xdr:rowOff>
        </xdr:from>
        <xdr:to>
          <xdr:col>1</xdr:col>
          <xdr:colOff>966788</xdr:colOff>
          <xdr:row>17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-louis quéguiner" refreshedDate="42455.752625694447" createdVersion="6" refreshedVersion="6" minRefreshableVersion="3" recordCount="39">
  <cacheSource type="worksheet">
    <worksheetSource name="Benchmark"/>
  </cacheSource>
  <cacheFields count="15">
    <cacheField name="dataset size" numFmtId="0">
      <sharedItems containsSemiMixedTypes="0" containsString="0" containsNumber="1" containsInteger="1" minValue="100" maxValue="30000"/>
    </cacheField>
    <cacheField name="extract start" numFmtId="21">
      <sharedItems containsDate="1" containsMixedTypes="1" minDate="1899-12-30T11:06:49" maxDate="1899-12-30T15:36:17"/>
    </cacheField>
    <cacheField name="extract end" numFmtId="21">
      <sharedItems containsDate="1" containsMixedTypes="1" minDate="1899-12-30T11:08:53" maxDate="1899-12-30T15:54:08"/>
    </cacheField>
    <cacheField name="train start" numFmtId="21">
      <sharedItems containsDate="1" containsMixedTypes="1" minDate="1899-12-30T11:08:53" maxDate="1899-12-30T15:54:08"/>
    </cacheField>
    <cacheField name="train end" numFmtId="21">
      <sharedItems containsDate="1" containsMixedTypes="1" minDate="1899-12-30T11:09:12" maxDate="1899-12-30T16:16:40"/>
    </cacheField>
    <cacheField name="test start" numFmtId="21">
      <sharedItems containsDate="1" containsMixedTypes="1" minDate="1899-12-30T11:09:22" maxDate="1899-12-30T16:23:22"/>
    </cacheField>
    <cacheField name="test end" numFmtId="21">
      <sharedItems containsDate="1" containsMixedTypes="1" minDate="1899-12-30T11:10:17" maxDate="1899-12-30T17:22:28"/>
    </cacheField>
    <cacheField name="accuracy" numFmtId="9">
      <sharedItems containsMixedTypes="1" containsNumber="1" minValue="0.36" maxValue="0.5"/>
    </cacheField>
    <cacheField name="dataset size/nb_features" numFmtId="1">
      <sharedItems containsMixedTypes="1" containsNumber="1" minValue="3.3333333333333335" maxValue="27" count="11">
        <n v="4"/>
        <n v="7"/>
        <n v="10"/>
        <n v="14"/>
        <n v="17"/>
        <n v="20"/>
        <n v="24"/>
        <n v="27"/>
        <s v=""/>
        <n v="6.666666666666667" u="1"/>
        <n v="3.3333333333333335" u="1"/>
      </sharedItems>
    </cacheField>
    <cacheField name="extract time" numFmtId="0">
      <sharedItems containsMixedTypes="1" containsNumber="1" containsInteger="1" minValue="3" maxValue="18"/>
    </cacheField>
    <cacheField name="train time" numFmtId="0">
      <sharedItems containsMixedTypes="1" containsNumber="1" containsInteger="1" minValue="1" maxValue="23"/>
    </cacheField>
    <cacheField name="test time" numFmtId="0">
      <sharedItems containsMixedTypes="1" containsNumber="1" containsInteger="1" minValue="1" maxValue="60"/>
    </cacheField>
    <cacheField name="include" numFmtId="0">
      <sharedItems count="2">
        <b v="1"/>
        <b v="0"/>
      </sharedItems>
    </cacheField>
    <cacheField name="feature_type" numFmtId="0">
      <sharedItems/>
    </cacheField>
    <cacheField name="nb_feature" numFmtId="0">
      <sharedItems containsSemiMixedTypes="0" containsString="0" containsNumber="1" containsInteger="1" minValue="3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n v="100"/>
    <d v="1899-12-30T11:06:49"/>
    <d v="1899-12-30T11:08:53"/>
    <d v="1899-12-30T11:08:53"/>
    <d v="1899-12-30T11:09:12"/>
    <d v="1899-12-30T11:09:22"/>
    <d v="1899-12-30T11:10:17"/>
    <n v="0.39"/>
    <x v="0"/>
    <n v="3"/>
    <n v="1"/>
    <n v="1"/>
    <x v="0"/>
    <s v="category"/>
    <n v="30"/>
  </r>
  <r>
    <n v="200"/>
    <d v="1899-12-30T11:10:27"/>
    <d v="1899-12-30T11:14:48"/>
    <d v="1899-12-30T11:14:48"/>
    <d v="1899-12-30T11:16:13"/>
    <d v="1899-12-30T11:16:47"/>
    <d v="1899-12-30T11:21:01"/>
    <n v="0.5"/>
    <x v="1"/>
    <n v="5"/>
    <n v="2"/>
    <n v="5"/>
    <x v="0"/>
    <s v="category"/>
    <n v="30"/>
  </r>
  <r>
    <n v="300"/>
    <d v="1899-12-30T11:21:17"/>
    <d v="1899-12-30T11:27:57"/>
    <d v="1899-12-30T11:27:57"/>
    <d v="1899-12-30T11:31:00"/>
    <d v="1899-12-30T11:32:04"/>
    <d v="1899-12-30T11:40:23"/>
    <n v="0.39"/>
    <x v="2"/>
    <n v="7"/>
    <n v="4"/>
    <n v="9"/>
    <x v="0"/>
    <s v="category"/>
    <n v="30"/>
  </r>
  <r>
    <n v="400"/>
    <d v="1899-12-30T11:40:44"/>
    <d v="1899-12-30T11:49:56"/>
    <d v="1899-12-30T11:49:56"/>
    <d v="1899-12-30T11:55:38"/>
    <d v="1899-12-30T11:57:31"/>
    <d v="1899-12-30T12:13:28"/>
    <n v="0.38"/>
    <x v="3"/>
    <n v="10"/>
    <n v="6"/>
    <n v="16"/>
    <x v="0"/>
    <s v="category"/>
    <n v="30"/>
  </r>
  <r>
    <n v="500"/>
    <d v="1899-12-30T12:14:01"/>
    <d v="1899-12-30T12:25:37"/>
    <d v="1899-12-30T12:25:37"/>
    <d v="1899-12-30T12:34:48"/>
    <d v="1899-12-30T12:37:50"/>
    <d v="1899-12-30T13:03:19"/>
    <n v="0.41"/>
    <x v="4"/>
    <n v="12"/>
    <n v="10"/>
    <n v="26"/>
    <x v="0"/>
    <s v="category"/>
    <n v="30"/>
  </r>
  <r>
    <n v="600"/>
    <d v="1899-12-30T13:03:55"/>
    <d v="1899-12-30T13:17:05"/>
    <d v="1899-12-30T13:17:05"/>
    <d v="1899-12-30T13:29:37"/>
    <d v="1899-12-30T13:33:32"/>
    <d v="1899-12-30T14:10:24"/>
    <n v="0.38"/>
    <x v="5"/>
    <n v="14"/>
    <n v="13"/>
    <n v="37"/>
    <x v="0"/>
    <s v="category"/>
    <n v="30"/>
  </r>
  <r>
    <n v="700"/>
    <d v="1899-12-30T14:11:05"/>
    <d v="1899-12-30T14:26:57"/>
    <d v="1899-12-30T14:26:57"/>
    <d v="1899-12-30T14:43:42"/>
    <d v="1899-12-30T14:48:53"/>
    <d v="1899-12-30T15:35:30"/>
    <n v="0.36"/>
    <x v="6"/>
    <n v="16"/>
    <n v="17"/>
    <n v="47"/>
    <x v="0"/>
    <s v="category"/>
    <n v="30"/>
  </r>
  <r>
    <n v="800"/>
    <d v="1899-12-30T15:36:17"/>
    <d v="1899-12-30T15:54:08"/>
    <d v="1899-12-30T15:54:08"/>
    <d v="1899-12-30T16:16:40"/>
    <d v="1899-12-30T16:23:22"/>
    <d v="1899-12-30T17:22:28"/>
    <n v="0.4"/>
    <x v="7"/>
    <n v="18"/>
    <n v="23"/>
    <n v="60"/>
    <x v="0"/>
    <s v="category"/>
    <n v="30"/>
  </r>
  <r>
    <n v="900"/>
    <s v=""/>
    <s v=""/>
    <s v=""/>
    <s v=""/>
    <s v=""/>
    <s v=""/>
    <s v=""/>
    <x v="8"/>
    <s v=""/>
    <s v=""/>
    <s v=""/>
    <x v="1"/>
    <s v="category"/>
    <n v="30"/>
  </r>
  <r>
    <n v="1000"/>
    <s v=""/>
    <s v=""/>
    <s v=""/>
    <s v=""/>
    <s v=""/>
    <s v=""/>
    <s v=""/>
    <x v="8"/>
    <s v=""/>
    <s v=""/>
    <s v=""/>
    <x v="1"/>
    <s v="category"/>
    <n v="30"/>
  </r>
  <r>
    <n v="2000"/>
    <s v=""/>
    <s v=""/>
    <s v=""/>
    <s v=""/>
    <s v=""/>
    <s v=""/>
    <s v=""/>
    <x v="8"/>
    <s v=""/>
    <s v=""/>
    <s v=""/>
    <x v="1"/>
    <s v="category"/>
    <n v="30"/>
  </r>
  <r>
    <n v="3000"/>
    <s v=""/>
    <s v=""/>
    <s v=""/>
    <s v=""/>
    <s v=""/>
    <s v=""/>
    <s v=""/>
    <x v="8"/>
    <s v=""/>
    <s v=""/>
    <s v=""/>
    <x v="1"/>
    <s v="category"/>
    <n v="30"/>
  </r>
  <r>
    <n v="4000"/>
    <s v=""/>
    <s v=""/>
    <s v=""/>
    <s v=""/>
    <s v=""/>
    <s v=""/>
    <s v=""/>
    <x v="8"/>
    <s v=""/>
    <s v=""/>
    <s v=""/>
    <x v="1"/>
    <s v="category"/>
    <n v="30"/>
  </r>
  <r>
    <n v="5000"/>
    <s v=""/>
    <s v=""/>
    <s v=""/>
    <s v=""/>
    <s v=""/>
    <s v=""/>
    <s v=""/>
    <x v="8"/>
    <s v=""/>
    <s v=""/>
    <s v=""/>
    <x v="1"/>
    <s v="category"/>
    <n v="30"/>
  </r>
  <r>
    <n v="6000"/>
    <s v=""/>
    <s v=""/>
    <s v=""/>
    <s v=""/>
    <s v=""/>
    <s v=""/>
    <s v=""/>
    <x v="8"/>
    <s v=""/>
    <s v=""/>
    <s v=""/>
    <x v="1"/>
    <s v="category"/>
    <n v="30"/>
  </r>
  <r>
    <n v="7000"/>
    <s v=""/>
    <s v=""/>
    <s v=""/>
    <s v=""/>
    <s v=""/>
    <s v=""/>
    <s v=""/>
    <x v="8"/>
    <s v=""/>
    <s v=""/>
    <s v=""/>
    <x v="1"/>
    <s v="category"/>
    <n v="30"/>
  </r>
  <r>
    <n v="8000"/>
    <s v=""/>
    <s v=""/>
    <s v=""/>
    <s v=""/>
    <s v=""/>
    <s v=""/>
    <s v=""/>
    <x v="8"/>
    <s v=""/>
    <s v=""/>
    <s v=""/>
    <x v="1"/>
    <s v="category"/>
    <n v="30"/>
  </r>
  <r>
    <n v="9000"/>
    <s v=""/>
    <s v=""/>
    <s v=""/>
    <s v=""/>
    <s v=""/>
    <s v=""/>
    <s v=""/>
    <x v="8"/>
    <s v=""/>
    <s v=""/>
    <s v=""/>
    <x v="1"/>
    <s v="category"/>
    <n v="30"/>
  </r>
  <r>
    <n v="10000"/>
    <s v=""/>
    <s v=""/>
    <s v=""/>
    <s v=""/>
    <s v=""/>
    <s v=""/>
    <s v=""/>
    <x v="8"/>
    <s v=""/>
    <s v=""/>
    <s v=""/>
    <x v="1"/>
    <s v="category"/>
    <n v="30"/>
  </r>
  <r>
    <n v="11000"/>
    <s v=""/>
    <s v=""/>
    <s v=""/>
    <s v=""/>
    <s v=""/>
    <s v=""/>
    <s v=""/>
    <x v="8"/>
    <s v=""/>
    <s v=""/>
    <s v=""/>
    <x v="1"/>
    <s v="category"/>
    <n v="30"/>
  </r>
  <r>
    <n v="12000"/>
    <s v=""/>
    <s v=""/>
    <s v=""/>
    <s v=""/>
    <s v=""/>
    <s v=""/>
    <s v=""/>
    <x v="8"/>
    <s v=""/>
    <s v=""/>
    <s v=""/>
    <x v="1"/>
    <s v="category"/>
    <n v="30"/>
  </r>
  <r>
    <n v="13000"/>
    <s v=""/>
    <s v=""/>
    <s v=""/>
    <s v=""/>
    <s v=""/>
    <s v=""/>
    <s v=""/>
    <x v="8"/>
    <s v=""/>
    <s v=""/>
    <s v=""/>
    <x v="1"/>
    <s v="category"/>
    <n v="30"/>
  </r>
  <r>
    <n v="14000"/>
    <s v=""/>
    <s v=""/>
    <s v=""/>
    <s v=""/>
    <s v=""/>
    <s v=""/>
    <s v=""/>
    <x v="8"/>
    <s v=""/>
    <s v=""/>
    <s v=""/>
    <x v="1"/>
    <s v="category"/>
    <n v="30"/>
  </r>
  <r>
    <n v="15000"/>
    <s v=""/>
    <s v=""/>
    <s v=""/>
    <s v=""/>
    <s v=""/>
    <s v=""/>
    <s v=""/>
    <x v="8"/>
    <s v=""/>
    <s v=""/>
    <s v=""/>
    <x v="1"/>
    <s v="category"/>
    <n v="30"/>
  </r>
  <r>
    <n v="16000"/>
    <s v=""/>
    <s v=""/>
    <s v=""/>
    <s v=""/>
    <s v=""/>
    <s v=""/>
    <s v=""/>
    <x v="8"/>
    <s v=""/>
    <s v=""/>
    <s v=""/>
    <x v="1"/>
    <s v="category"/>
    <n v="30"/>
  </r>
  <r>
    <n v="17000"/>
    <s v=""/>
    <s v=""/>
    <s v=""/>
    <s v=""/>
    <s v=""/>
    <s v=""/>
    <s v=""/>
    <x v="8"/>
    <s v=""/>
    <s v=""/>
    <s v=""/>
    <x v="1"/>
    <s v="category"/>
    <n v="30"/>
  </r>
  <r>
    <n v="18000"/>
    <s v=""/>
    <s v=""/>
    <s v=""/>
    <s v=""/>
    <s v=""/>
    <s v=""/>
    <s v=""/>
    <x v="8"/>
    <s v=""/>
    <s v=""/>
    <s v=""/>
    <x v="1"/>
    <s v="category"/>
    <n v="30"/>
  </r>
  <r>
    <n v="19000"/>
    <s v=""/>
    <s v=""/>
    <s v=""/>
    <s v=""/>
    <s v=""/>
    <s v=""/>
    <s v=""/>
    <x v="8"/>
    <s v=""/>
    <s v=""/>
    <s v=""/>
    <x v="1"/>
    <s v="category"/>
    <n v="30"/>
  </r>
  <r>
    <n v="20000"/>
    <s v=""/>
    <s v=""/>
    <s v=""/>
    <s v=""/>
    <s v=""/>
    <s v=""/>
    <s v=""/>
    <x v="8"/>
    <s v=""/>
    <s v=""/>
    <s v=""/>
    <x v="1"/>
    <s v="category"/>
    <n v="30"/>
  </r>
  <r>
    <n v="21000"/>
    <s v=""/>
    <s v=""/>
    <s v=""/>
    <s v=""/>
    <s v=""/>
    <s v=""/>
    <s v=""/>
    <x v="8"/>
    <s v=""/>
    <s v=""/>
    <s v=""/>
    <x v="1"/>
    <s v="category"/>
    <n v="30"/>
  </r>
  <r>
    <n v="22000"/>
    <s v=""/>
    <s v=""/>
    <s v=""/>
    <s v=""/>
    <s v=""/>
    <s v=""/>
    <s v=""/>
    <x v="8"/>
    <s v=""/>
    <s v=""/>
    <s v=""/>
    <x v="1"/>
    <s v="category"/>
    <n v="30"/>
  </r>
  <r>
    <n v="23000"/>
    <s v=""/>
    <s v=""/>
    <s v=""/>
    <s v=""/>
    <s v=""/>
    <s v=""/>
    <s v=""/>
    <x v="8"/>
    <s v=""/>
    <s v=""/>
    <s v=""/>
    <x v="1"/>
    <s v="category"/>
    <n v="30"/>
  </r>
  <r>
    <n v="24000"/>
    <s v=""/>
    <s v=""/>
    <s v=""/>
    <s v=""/>
    <s v=""/>
    <s v=""/>
    <s v=""/>
    <x v="8"/>
    <s v=""/>
    <s v=""/>
    <s v=""/>
    <x v="1"/>
    <s v="category"/>
    <n v="30"/>
  </r>
  <r>
    <n v="25000"/>
    <s v=""/>
    <s v=""/>
    <s v=""/>
    <s v=""/>
    <s v=""/>
    <s v=""/>
    <s v=""/>
    <x v="8"/>
    <s v=""/>
    <s v=""/>
    <s v=""/>
    <x v="1"/>
    <s v="category"/>
    <n v="30"/>
  </r>
  <r>
    <n v="26000"/>
    <s v=""/>
    <s v=""/>
    <s v=""/>
    <s v=""/>
    <s v=""/>
    <s v=""/>
    <s v=""/>
    <x v="8"/>
    <s v=""/>
    <s v=""/>
    <s v=""/>
    <x v="1"/>
    <s v="category"/>
    <n v="30"/>
  </r>
  <r>
    <n v="27000"/>
    <s v=""/>
    <s v=""/>
    <s v=""/>
    <s v=""/>
    <s v=""/>
    <s v=""/>
    <s v=""/>
    <x v="8"/>
    <s v=""/>
    <s v=""/>
    <s v=""/>
    <x v="1"/>
    <s v="category"/>
    <n v="30"/>
  </r>
  <r>
    <n v="28000"/>
    <s v=""/>
    <s v=""/>
    <s v=""/>
    <s v=""/>
    <s v=""/>
    <s v=""/>
    <s v=""/>
    <x v="8"/>
    <s v=""/>
    <s v=""/>
    <s v=""/>
    <x v="1"/>
    <s v="category"/>
    <n v="30"/>
  </r>
  <r>
    <n v="29000"/>
    <s v=""/>
    <s v=""/>
    <s v=""/>
    <s v=""/>
    <s v=""/>
    <s v=""/>
    <s v=""/>
    <x v="8"/>
    <s v=""/>
    <s v=""/>
    <s v=""/>
    <x v="1"/>
    <s v="category"/>
    <n v="30"/>
  </r>
  <r>
    <n v="30000"/>
    <s v=""/>
    <s v=""/>
    <s v=""/>
    <s v=""/>
    <s v=""/>
    <s v=""/>
    <s v=""/>
    <x v="8"/>
    <s v=""/>
    <s v=""/>
    <s v=""/>
    <x v="1"/>
    <s v="category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6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3:E12" firstHeaderRow="0" firstDataRow="1" firstDataCol="1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2">
        <item m="1" x="10"/>
        <item m="1" x="9"/>
        <item x="2"/>
        <item x="8"/>
        <item x="0"/>
        <item x="1"/>
        <item x="3"/>
        <item x="4"/>
        <item x="5"/>
        <item x="6"/>
        <item x="7"/>
        <item t="default"/>
      </items>
    </pivotField>
    <pivotField dataField="1" showAll="0"/>
    <pivotField dataField="1" showAll="0"/>
    <pivotField dataField="1" showAll="0"/>
    <pivotField axis="axisPage" showAll="0" defaultSubtotal="0">
      <items count="2">
        <item x="1"/>
        <item x="0"/>
      </items>
    </pivotField>
    <pivotField showAll="0"/>
    <pivotField showAll="0"/>
  </pivotFields>
  <rowFields count="1">
    <field x="8"/>
  </rowFields>
  <rowItems count="9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2" item="1" hier="-1"/>
  </pageFields>
  <dataFields count="4">
    <dataField name="Model accuracy (%)" fld="7" subtotal="max" baseField="8" baseItem="2"/>
    <dataField name="Extract time (min)" fld="9" subtotal="max" baseField="8" baseItem="5"/>
    <dataField name="Training time (min)" fld="10" subtotal="max" baseField="8" baseItem="5"/>
    <dataField name="Testing time (min)" fld="11" subtotal="max" baseField="8" baseItem="5"/>
  </dataFields>
  <formats count="17">
    <format dxfId="8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9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0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1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2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3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4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5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6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7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8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19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20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21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22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23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24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</formats>
  <chartFormats count="4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onnéesExternes_1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dataset_size" tableColumnId="105"/>
      <queryTableField id="2" name="extract_start_time" tableColumnId="106"/>
      <queryTableField id="3" name="extract_end_time" tableColumnId="107"/>
      <queryTableField id="4" name="train_start_time" tableColumnId="108"/>
      <queryTableField id="5" name="train_end_time" tableColumnId="109"/>
      <queryTableField id="6" name="test_start_time" tableColumnId="110"/>
      <queryTableField id="7" name="test_end_time" tableColumnId="111"/>
      <queryTableField id="8" name="accuracy" tableColumnId="1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Benchmark" displayName="Benchmark" ref="A1:O40" totalsRowShown="0">
  <autoFilter ref="A1:O40"/>
  <tableColumns count="15">
    <tableColumn id="1" name="dataset size"/>
    <tableColumn id="2" name="extract start" dataDxfId="33">
      <calculatedColumnFormula>IF(ISNA(VLOOKUP($A2,benchmark_1[#All],COLUMN(),FALSE)),"",VLOOKUP($A2,benchmark_1[#All],COLUMN(),FALSE))</calculatedColumnFormula>
    </tableColumn>
    <tableColumn id="3" name="extract end" dataDxfId="32">
      <calculatedColumnFormula>IF(ISNA(VLOOKUP($A2,benchmark_1[#All],COLUMN(),FALSE)),"",VLOOKUP($A2,benchmark_1[#All],COLUMN(),FALSE))</calculatedColumnFormula>
    </tableColumn>
    <tableColumn id="5" name="train start">
      <calculatedColumnFormula>IF(ISNA(VLOOKUP($A2,benchmark_1[#All],COLUMN(),FALSE)),"",VLOOKUP($A2,benchmark_1[#All],COLUMN(),FALSE))</calculatedColumnFormula>
    </tableColumn>
    <tableColumn id="6" name="train end">
      <calculatedColumnFormula>IF(ISNA(VLOOKUP($A2,benchmark_1[#All],COLUMN(),FALSE)),"",VLOOKUP($A2,benchmark_1[#All],COLUMN(),FALSE))</calculatedColumnFormula>
    </tableColumn>
    <tableColumn id="8" name="test start">
      <calculatedColumnFormula>IF(ISNA(VLOOKUP($A2,benchmark_1[#All],COLUMN(),FALSE)),"",VLOOKUP($A2,benchmark_1[#All],COLUMN(),FALSE))</calculatedColumnFormula>
    </tableColumn>
    <tableColumn id="9" name="test end">
      <calculatedColumnFormula>IF(ISNA(VLOOKUP($A2,benchmark_1[#All],COLUMN(),FALSE)),"",VLOOKUP($A2,benchmark_1[#All],COLUMN(),FALSE))</calculatedColumnFormula>
    </tableColumn>
    <tableColumn id="11" name="accuracy" dataDxfId="31" dataCellStyle="Pourcentage">
      <calculatedColumnFormula>IF(ISNA(_xlfn.NUMBERVALUE(VLOOKUP($A2,benchmark_1[#All],COLUMN(),FALSE),".")),"",ROUNDDOWN(_xlfn.NUMBERVALUE(VLOOKUP($A2,benchmark_1[#All],COLUMN(),FALSE),"."),2))</calculatedColumnFormula>
    </tableColumn>
    <tableColumn id="12" name="dataset size/nb_features" dataDxfId="30">
      <calculatedColumnFormula>IF(Benchmark[[#This Row],[extract start]]="","",ROUNDUP(A2/Benchmark[[#This Row],[nb_feature]],0))</calculatedColumnFormula>
    </tableColumn>
    <tableColumn id="13" name="extract time" dataDxfId="29">
      <calculatedColumnFormula>IF(Benchmark[[#This Row],[extract start]]="","",ROUNDUP((C2-B2)*60*24,0))</calculatedColumnFormula>
    </tableColumn>
    <tableColumn id="14" name="train time" dataDxfId="28">
      <calculatedColumnFormula>IF(Benchmark[[#This Row],[extract start]]="","",ROUNDUP((E2-D2)*60*24,0))</calculatedColumnFormula>
    </tableColumn>
    <tableColumn id="15" name="test time" dataDxfId="27">
      <calculatedColumnFormula>IF(Benchmark[[#This Row],[extract start]]="","",ROUNDUP((G2-F2)*60*24,0))</calculatedColumnFormula>
    </tableColumn>
    <tableColumn id="4" name="include" dataDxfId="25">
      <calculatedColumnFormula>IF(Benchmark[[#This Row],[extract start]]="",FALSE,TRUE)</calculatedColumnFormula>
    </tableColumn>
    <tableColumn id="16" name="feature_type"/>
    <tableColumn id="17" name="nb_feature" dataDxfId="26">
      <calculatedColumnFormula>VLOOKUP(Benchmark[[#This Row],[feature_type]],Variables[#All],2)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Variables" displayName="Variables" ref="R1:S3" totalsRowShown="0">
  <autoFilter ref="R1:S3"/>
  <tableColumns count="2">
    <tableColumn id="2" name="feature_type"/>
    <tableColumn id="1" name="nb_feature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benchmark" displayName="benchmark_1" ref="A1:H9" tableType="queryTable" totalsRowShown="0">
  <autoFilter ref="A1:H9"/>
  <tableColumns count="8">
    <tableColumn id="105" uniqueName="105" name="dataset_size" queryTableFieldId="1" dataDxfId="7"/>
    <tableColumn id="106" uniqueName="106" name="extract_start_time" queryTableFieldId="2" dataDxfId="6"/>
    <tableColumn id="107" uniqueName="107" name="extract_end_time" queryTableFieldId="3" dataDxfId="5"/>
    <tableColumn id="108" uniqueName="108" name="train_start_time" queryTableFieldId="4" dataDxfId="4"/>
    <tableColumn id="109" uniqueName="109" name="train_end_time" queryTableFieldId="5" dataDxfId="3"/>
    <tableColumn id="110" uniqueName="110" name="test_start_time" queryTableFieldId="6" dataDxfId="2"/>
    <tableColumn id="111" uniqueName="111" name="test_end_time" queryTableFieldId="7" dataDxfId="1"/>
    <tableColumn id="112" uniqueName="112" name="accuracy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12"/>
  <sheetViews>
    <sheetView tabSelected="1" topLeftCell="B2" workbookViewId="0">
      <selection activeCell="H8" sqref="H8"/>
    </sheetView>
  </sheetViews>
  <sheetFormatPr baseColWidth="10" defaultRowHeight="14.25" x14ac:dyDescent="0.45"/>
  <cols>
    <col min="1" max="1" width="19.06640625" bestFit="1" customWidth="1"/>
    <col min="2" max="2" width="16.53125" style="8" customWidth="1"/>
    <col min="3" max="3" width="15.265625" customWidth="1"/>
    <col min="4" max="4" width="16.33203125" customWidth="1"/>
    <col min="5" max="5" width="15.59765625" customWidth="1"/>
    <col min="11" max="11" width="13.86328125" bestFit="1" customWidth="1"/>
    <col min="12" max="12" width="11.86328125" bestFit="1" customWidth="1"/>
    <col min="13" max="13" width="14.3984375" bestFit="1" customWidth="1"/>
  </cols>
  <sheetData>
    <row r="1" spans="1:13" x14ac:dyDescent="0.45">
      <c r="A1" s="1" t="s">
        <v>33</v>
      </c>
      <c r="B1" t="s">
        <v>34</v>
      </c>
    </row>
    <row r="3" spans="1:13" x14ac:dyDescent="0.45">
      <c r="A3" s="1" t="s">
        <v>7</v>
      </c>
      <c r="B3" t="s">
        <v>29</v>
      </c>
      <c r="C3" t="s">
        <v>30</v>
      </c>
      <c r="D3" t="s">
        <v>31</v>
      </c>
      <c r="E3" t="s">
        <v>32</v>
      </c>
      <c r="H3" t="s">
        <v>40</v>
      </c>
      <c r="I3" t="s">
        <v>41</v>
      </c>
      <c r="J3" t="s">
        <v>39</v>
      </c>
      <c r="K3" t="s">
        <v>42</v>
      </c>
      <c r="L3" t="s">
        <v>43</v>
      </c>
      <c r="M3" t="s">
        <v>44</v>
      </c>
    </row>
    <row r="4" spans="1:13" x14ac:dyDescent="0.45">
      <c r="A4" s="9">
        <v>10</v>
      </c>
      <c r="B4" s="6">
        <v>0.39</v>
      </c>
      <c r="C4" s="6">
        <v>7</v>
      </c>
      <c r="D4" s="6">
        <v>4</v>
      </c>
      <c r="E4" s="6">
        <v>9</v>
      </c>
      <c r="H4">
        <v>20000</v>
      </c>
      <c r="I4">
        <v>30</v>
      </c>
      <c r="J4">
        <f>H4/I4</f>
        <v>666.66666666666663</v>
      </c>
      <c r="K4">
        <f>1.1607*J4*J4-2.2*J4+5.4</f>
        <v>514405.39999999997</v>
      </c>
      <c r="L4">
        <f>K4/60</f>
        <v>8573.4233333333323</v>
      </c>
      <c r="M4">
        <f>L4/24</f>
        <v>357.2259722222222</v>
      </c>
    </row>
    <row r="5" spans="1:13" x14ac:dyDescent="0.45">
      <c r="A5" s="2">
        <v>4</v>
      </c>
      <c r="B5" s="6">
        <v>0.39</v>
      </c>
      <c r="C5" s="6">
        <v>3</v>
      </c>
      <c r="D5" s="6">
        <v>1</v>
      </c>
      <c r="E5" s="6">
        <v>1</v>
      </c>
      <c r="H5">
        <v>800</v>
      </c>
      <c r="I5">
        <v>30</v>
      </c>
      <c r="J5">
        <f>H5/I5</f>
        <v>26.666666666666668</v>
      </c>
      <c r="K5">
        <f t="shared" ref="K5:K7" si="0">1.1607*J5*J5-2.2*J5+5.4</f>
        <v>772.12000000000012</v>
      </c>
      <c r="L5">
        <f>K5/60</f>
        <v>12.868666666666668</v>
      </c>
      <c r="M5">
        <f>L5/24</f>
        <v>0.53619444444444453</v>
      </c>
    </row>
    <row r="6" spans="1:13" x14ac:dyDescent="0.45">
      <c r="A6" s="2">
        <v>7</v>
      </c>
      <c r="B6" s="6">
        <v>0.5</v>
      </c>
      <c r="C6" s="6">
        <v>5</v>
      </c>
      <c r="D6" s="6">
        <v>2</v>
      </c>
      <c r="E6" s="6">
        <v>5</v>
      </c>
      <c r="H6">
        <v>900</v>
      </c>
      <c r="I6">
        <v>30</v>
      </c>
      <c r="J6">
        <f>H6/I6</f>
        <v>30</v>
      </c>
      <c r="K6">
        <f t="shared" si="0"/>
        <v>984.03000000000009</v>
      </c>
      <c r="L6">
        <f>K6/60</f>
        <v>16.400500000000001</v>
      </c>
      <c r="M6">
        <f>L6/24</f>
        <v>0.68335416666666671</v>
      </c>
    </row>
    <row r="7" spans="1:13" ht="57" x14ac:dyDescent="0.45">
      <c r="A7" s="2">
        <v>14</v>
      </c>
      <c r="B7" s="6">
        <v>0.38</v>
      </c>
      <c r="C7" s="6">
        <v>10</v>
      </c>
      <c r="D7" s="6">
        <v>6</v>
      </c>
      <c r="E7" s="6">
        <v>16</v>
      </c>
      <c r="G7" s="10" t="s">
        <v>45</v>
      </c>
      <c r="H7">
        <v>1521.5353018119004</v>
      </c>
      <c r="I7">
        <v>30</v>
      </c>
      <c r="J7">
        <f>H7/I7</f>
        <v>50.717843393730014</v>
      </c>
      <c r="K7">
        <f t="shared" si="0"/>
        <v>2879.4889349534224</v>
      </c>
      <c r="L7">
        <f>K7/60</f>
        <v>47.991482249223708</v>
      </c>
      <c r="M7">
        <f>L7/24</f>
        <v>1.9996450937176544</v>
      </c>
    </row>
    <row r="8" spans="1:13" x14ac:dyDescent="0.45">
      <c r="A8" s="2">
        <v>17</v>
      </c>
      <c r="B8" s="6">
        <v>0.41</v>
      </c>
      <c r="C8" s="6">
        <v>12</v>
      </c>
      <c r="D8" s="6">
        <v>10</v>
      </c>
      <c r="E8" s="6">
        <v>26</v>
      </c>
      <c r="H8" t="s">
        <v>47</v>
      </c>
    </row>
    <row r="9" spans="1:13" x14ac:dyDescent="0.45">
      <c r="A9" s="2">
        <v>20</v>
      </c>
      <c r="B9" s="6">
        <v>0.38</v>
      </c>
      <c r="C9" s="6">
        <v>14</v>
      </c>
      <c r="D9" s="6">
        <v>13</v>
      </c>
      <c r="E9" s="6">
        <v>37</v>
      </c>
    </row>
    <row r="10" spans="1:13" x14ac:dyDescent="0.45">
      <c r="A10" s="2">
        <v>24</v>
      </c>
      <c r="B10" s="6">
        <v>0.36</v>
      </c>
      <c r="C10" s="6">
        <v>16</v>
      </c>
      <c r="D10" s="6">
        <v>17</v>
      </c>
      <c r="E10" s="6">
        <v>47</v>
      </c>
    </row>
    <row r="11" spans="1:13" x14ac:dyDescent="0.45">
      <c r="A11" s="2">
        <v>27</v>
      </c>
      <c r="B11" s="6">
        <v>0.4</v>
      </c>
      <c r="C11" s="6">
        <v>18</v>
      </c>
      <c r="D11" s="6">
        <v>23</v>
      </c>
      <c r="E11" s="6">
        <v>60</v>
      </c>
    </row>
    <row r="12" spans="1:13" x14ac:dyDescent="0.45">
      <c r="A12" s="2" t="s">
        <v>8</v>
      </c>
      <c r="B12" s="6">
        <v>0.5</v>
      </c>
      <c r="C12" s="6">
        <v>18</v>
      </c>
      <c r="D12" s="6">
        <v>23</v>
      </c>
      <c r="E12" s="6">
        <v>60</v>
      </c>
    </row>
  </sheetData>
  <pageMargins left="0.7" right="0.7" top="0.75" bottom="0.75" header="0.3" footer="0.3"/>
  <pageSetup orientation="portrait" verticalDpi="300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autoPict="0" r:id="rId6">
            <anchor moveWithCells="1">
              <from>
                <xdr:col>0</xdr:col>
                <xdr:colOff>709613</xdr:colOff>
                <xdr:row>15</xdr:row>
                <xdr:rowOff>57150</xdr:rowOff>
              </from>
              <to>
                <xdr:col>1</xdr:col>
                <xdr:colOff>966788</xdr:colOff>
                <xdr:row>17</xdr:row>
                <xdr:rowOff>161925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S40"/>
  <sheetViews>
    <sheetView workbookViewId="0">
      <selection activeCell="M3" sqref="M3"/>
    </sheetView>
  </sheetViews>
  <sheetFormatPr baseColWidth="10" defaultRowHeight="14.25" x14ac:dyDescent="0.45"/>
  <cols>
    <col min="1" max="1" width="11.53125" customWidth="1"/>
    <col min="2" max="2" width="12.265625" customWidth="1"/>
    <col min="3" max="3" width="11.53125" customWidth="1"/>
    <col min="9" max="9" width="18.3984375" customWidth="1"/>
    <col min="10" max="10" width="12.19921875" style="6" customWidth="1"/>
    <col min="12" max="12" width="10.265625" bestFit="1" customWidth="1"/>
    <col min="13" max="13" width="10.265625" customWidth="1"/>
    <col min="19" max="19" width="13.59765625" customWidth="1"/>
  </cols>
  <sheetData>
    <row r="1" spans="1:19" x14ac:dyDescent="0.45">
      <c r="A1" t="s">
        <v>12</v>
      </c>
      <c r="B1" t="s">
        <v>0</v>
      </c>
      <c r="C1" t="s">
        <v>2</v>
      </c>
      <c r="D1" t="s">
        <v>3</v>
      </c>
      <c r="E1" t="s">
        <v>4</v>
      </c>
      <c r="F1" t="s">
        <v>9</v>
      </c>
      <c r="G1" t="s">
        <v>10</v>
      </c>
      <c r="H1" t="s">
        <v>6</v>
      </c>
      <c r="I1" t="s">
        <v>13</v>
      </c>
      <c r="J1" s="6" t="s">
        <v>1</v>
      </c>
      <c r="K1" s="4" t="s">
        <v>5</v>
      </c>
      <c r="L1" t="s">
        <v>11</v>
      </c>
      <c r="M1" t="s">
        <v>33</v>
      </c>
      <c r="N1" t="s">
        <v>16</v>
      </c>
      <c r="O1" t="s">
        <v>18</v>
      </c>
      <c r="R1" t="s">
        <v>16</v>
      </c>
      <c r="S1" t="s">
        <v>14</v>
      </c>
    </row>
    <row r="2" spans="1:19" x14ac:dyDescent="0.45">
      <c r="A2">
        <v>100</v>
      </c>
      <c r="B2" s="3">
        <f>IF(ISNA(VLOOKUP($A2,benchmark_1[#All],COLUMN(),FALSE)),"",VLOOKUP($A2,benchmark_1[#All],COLUMN(),FALSE))</f>
        <v>0.46307190972222223</v>
      </c>
      <c r="C2" s="3">
        <f>IF(ISNA(VLOOKUP($A2,benchmark_1[#All],COLUMN(),FALSE)),"",VLOOKUP($A2,benchmark_1[#All],COLUMN(),FALSE))</f>
        <v>0.46450456018518521</v>
      </c>
      <c r="D2" s="3">
        <f>IF(ISNA(VLOOKUP($A2,benchmark_1[#All],COLUMN(),FALSE)),"",VLOOKUP($A2,benchmark_1[#All],COLUMN(),FALSE))</f>
        <v>0.46450466435185184</v>
      </c>
      <c r="E2" s="3">
        <f>IF(ISNA(VLOOKUP($A2,benchmark_1[#All],COLUMN(),FALSE)),"",VLOOKUP($A2,benchmark_1[#All],COLUMN(),FALSE))</f>
        <v>0.46472123842592594</v>
      </c>
      <c r="F2" s="3">
        <f>IF(ISNA(VLOOKUP($A2,benchmark_1[#All],COLUMN(),FALSE)),"",VLOOKUP($A2,benchmark_1[#All],COLUMN(),FALSE))</f>
        <v>0.46483652777777779</v>
      </c>
      <c r="G2" s="3">
        <f>IF(ISNA(VLOOKUP($A2,benchmark_1[#All],COLUMN(),FALSE)),"",VLOOKUP($A2,benchmark_1[#All],COLUMN(),FALSE))</f>
        <v>0.46547378472222223</v>
      </c>
      <c r="H2" s="8">
        <f>IF(ISNA(_xlfn.NUMBERVALUE(VLOOKUP($A2,benchmark_1[#All],COLUMN(),FALSE),".")),"",ROUNDDOWN(_xlfn.NUMBERVALUE(VLOOKUP($A2,benchmark_1[#All],COLUMN(),FALSE),"."),2))</f>
        <v>0.39</v>
      </c>
      <c r="I2" s="5">
        <f>IF(Benchmark[[#This Row],[extract start]]="","",ROUNDUP(A2/Benchmark[[#This Row],[nb_feature]],0))</f>
        <v>4</v>
      </c>
      <c r="J2" s="6">
        <f>IF(Benchmark[[#This Row],[extract start]]="","",ROUNDUP((C2-B2)*60*24,0))</f>
        <v>3</v>
      </c>
      <c r="K2" s="6">
        <f>IF(Benchmark[[#This Row],[extract start]]="","",ROUNDUP((E2-D2)*60*24,0))</f>
        <v>1</v>
      </c>
      <c r="L2" s="6">
        <f>IF(Benchmark[[#This Row],[extract start]]="","",ROUNDUP((G2-F2)*60*24,0))</f>
        <v>1</v>
      </c>
      <c r="M2" s="6" t="b">
        <f>IF(Benchmark[[#This Row],[extract start]]="",FALSE,TRUE)</f>
        <v>1</v>
      </c>
      <c r="N2" t="s">
        <v>15</v>
      </c>
      <c r="O2">
        <f>VLOOKUP(Benchmark[[#This Row],[feature_type]],Variables[#All],2)</f>
        <v>30</v>
      </c>
      <c r="R2" t="s">
        <v>15</v>
      </c>
      <c r="S2">
        <v>30</v>
      </c>
    </row>
    <row r="3" spans="1:19" x14ac:dyDescent="0.45">
      <c r="A3">
        <v>200</v>
      </c>
      <c r="B3" s="3">
        <f>IF(ISNA(VLOOKUP($A3,benchmark_1[#All],COLUMN(),FALSE)),"",VLOOKUP($A3,benchmark_1[#All],COLUMN(),FALSE))</f>
        <v>0.46559223379629627</v>
      </c>
      <c r="C3" s="3">
        <f>IF(ISNA(VLOOKUP($A3,benchmark_1[#All],COLUMN(),FALSE)),"",VLOOKUP($A3,benchmark_1[#All],COLUMN(),FALSE))</f>
        <v>0.46861157407407406</v>
      </c>
      <c r="D3" s="3">
        <f>IF(ISNA(VLOOKUP($A3,benchmark_1[#All],COLUMN(),FALSE)),"",VLOOKUP($A3,benchmark_1[#All],COLUMN(),FALSE))</f>
        <v>0.46861171296296295</v>
      </c>
      <c r="E3" s="3">
        <f>IF(ISNA(VLOOKUP($A3,benchmark_1[#All],COLUMN(),FALSE)),"",VLOOKUP($A3,benchmark_1[#All],COLUMN(),FALSE))</f>
        <v>0.4695916087962963</v>
      </c>
      <c r="F3" s="3">
        <f>IF(ISNA(VLOOKUP($A3,benchmark_1[#All],COLUMN(),FALSE)),"",VLOOKUP($A3,benchmark_1[#All],COLUMN(),FALSE))</f>
        <v>0.46998443287037039</v>
      </c>
      <c r="G3" s="3">
        <f>IF(ISNA(VLOOKUP($A3,benchmark_1[#All],COLUMN(),FALSE)),"",VLOOKUP($A3,benchmark_1[#All],COLUMN(),FALSE))</f>
        <v>0.47292587962962962</v>
      </c>
      <c r="H3" s="8">
        <f>IF(ISNA(_xlfn.NUMBERVALUE(VLOOKUP($A3,benchmark_1[#All],COLUMN(),FALSE),".")),"",ROUNDDOWN(_xlfn.NUMBERVALUE(VLOOKUP($A3,benchmark_1[#All],COLUMN(),FALSE),"."),2))</f>
        <v>0.5</v>
      </c>
      <c r="I3" s="5">
        <f>IF(Benchmark[[#This Row],[extract start]]="","",ROUNDUP(A3/Benchmark[[#This Row],[nb_feature]],0))</f>
        <v>7</v>
      </c>
      <c r="J3" s="6">
        <f>IF(Benchmark[[#This Row],[extract start]]="","",ROUNDUP((C3-B3)*60*24,0))</f>
        <v>5</v>
      </c>
      <c r="K3" s="6">
        <f>IF(Benchmark[[#This Row],[extract start]]="","",ROUNDUP((E3-D3)*60*24,0))</f>
        <v>2</v>
      </c>
      <c r="L3" s="6">
        <f>IF(Benchmark[[#This Row],[extract start]]="","",ROUNDUP((G3-F3)*60*24,0))</f>
        <v>5</v>
      </c>
      <c r="M3" s="6" t="b">
        <f>IF(Benchmark[[#This Row],[extract start]]="",FALSE,TRUE)</f>
        <v>1</v>
      </c>
      <c r="N3" t="s">
        <v>15</v>
      </c>
      <c r="O3">
        <f>VLOOKUP(Benchmark[[#This Row],[feature_type]],Variables[#All],2)</f>
        <v>30</v>
      </c>
      <c r="R3" t="s">
        <v>17</v>
      </c>
    </row>
    <row r="4" spans="1:19" x14ac:dyDescent="0.45">
      <c r="A4">
        <v>300</v>
      </c>
      <c r="B4" s="3">
        <f>IF(ISNA(VLOOKUP($A4,benchmark_1[#All],COLUMN(),FALSE)),"",VLOOKUP($A4,benchmark_1[#All],COLUMN(),FALSE))</f>
        <v>0.47311120370370369</v>
      </c>
      <c r="C4" s="3">
        <f>IF(ISNA(VLOOKUP($A4,benchmark_1[#All],COLUMN(),FALSE)),"",VLOOKUP($A4,benchmark_1[#All],COLUMN(),FALSE))</f>
        <v>0.47774504629629627</v>
      </c>
      <c r="D4" s="3">
        <f>IF(ISNA(VLOOKUP($A4,benchmark_1[#All],COLUMN(),FALSE)),"",VLOOKUP($A4,benchmark_1[#All],COLUMN(),FALSE))</f>
        <v>0.47774523148148146</v>
      </c>
      <c r="E4" s="3">
        <f>IF(ISNA(VLOOKUP($A4,benchmark_1[#All],COLUMN(),FALSE)),"",VLOOKUP($A4,benchmark_1[#All],COLUMN(),FALSE))</f>
        <v>0.47986199074074076</v>
      </c>
      <c r="F4" s="3">
        <f>IF(ISNA(VLOOKUP($A4,benchmark_1[#All],COLUMN(),FALSE)),"",VLOOKUP($A4,benchmark_1[#All],COLUMN(),FALSE))</f>
        <v>0.48059688657407407</v>
      </c>
      <c r="G4" s="3">
        <f>IF(ISNA(VLOOKUP($A4,benchmark_1[#All],COLUMN(),FALSE)),"",VLOOKUP($A4,benchmark_1[#All],COLUMN(),FALSE))</f>
        <v>0.48637938657407409</v>
      </c>
      <c r="H4" s="8">
        <f>IF(ISNA(_xlfn.NUMBERVALUE(VLOOKUP($A4,benchmark_1[#All],COLUMN(),FALSE),".")),"",ROUNDDOWN(_xlfn.NUMBERVALUE(VLOOKUP($A4,benchmark_1[#All],COLUMN(),FALSE),"."),2))</f>
        <v>0.39</v>
      </c>
      <c r="I4" s="5">
        <f>IF(Benchmark[[#This Row],[extract start]]="","",ROUNDUP(A4/Benchmark[[#This Row],[nb_feature]],0))</f>
        <v>10</v>
      </c>
      <c r="J4" s="6">
        <f>IF(Benchmark[[#This Row],[extract start]]="","",ROUNDUP((C4-B4)*60*24,0))</f>
        <v>7</v>
      </c>
      <c r="K4" s="6">
        <f>IF(Benchmark[[#This Row],[extract start]]="","",ROUNDUP((E4-D4)*60*24,0))</f>
        <v>4</v>
      </c>
      <c r="L4" s="6">
        <f>IF(Benchmark[[#This Row],[extract start]]="","",ROUNDUP((G4-F4)*60*24,0))</f>
        <v>9</v>
      </c>
      <c r="M4" s="6" t="b">
        <f>IF(Benchmark[[#This Row],[extract start]]="",FALSE,TRUE)</f>
        <v>1</v>
      </c>
      <c r="N4" t="s">
        <v>15</v>
      </c>
      <c r="O4">
        <f>VLOOKUP(Benchmark[[#This Row],[feature_type]],Variables[#All],2)</f>
        <v>30</v>
      </c>
    </row>
    <row r="5" spans="1:19" x14ac:dyDescent="0.45">
      <c r="A5">
        <v>400</v>
      </c>
      <c r="B5" s="3">
        <f>IF(ISNA(VLOOKUP($A5,benchmark_1[#All],COLUMN(),FALSE)),"",VLOOKUP($A5,benchmark_1[#All],COLUMN(),FALSE))</f>
        <v>0.48662572916666669</v>
      </c>
      <c r="C5" s="3">
        <f>IF(ISNA(VLOOKUP($A5,benchmark_1[#All],COLUMN(),FALSE)),"",VLOOKUP($A5,benchmark_1[#All],COLUMN(),FALSE))</f>
        <v>0.49300707175925929</v>
      </c>
      <c r="D5" s="3">
        <f>IF(ISNA(VLOOKUP($A5,benchmark_1[#All],COLUMN(),FALSE)),"",VLOOKUP($A5,benchmark_1[#All],COLUMN(),FALSE))</f>
        <v>0.4930073611111111</v>
      </c>
      <c r="E5" s="3">
        <f>IF(ISNA(VLOOKUP($A5,benchmark_1[#All],COLUMN(),FALSE)),"",VLOOKUP($A5,benchmark_1[#All],COLUMN(),FALSE))</f>
        <v>0.49697302083333333</v>
      </c>
      <c r="F5" s="3">
        <f>IF(ISNA(VLOOKUP($A5,benchmark_1[#All],COLUMN(),FALSE)),"",VLOOKUP($A5,benchmark_1[#All],COLUMN(),FALSE))</f>
        <v>0.49827454861111109</v>
      </c>
      <c r="G5" s="3">
        <f>IF(ISNA(VLOOKUP($A5,benchmark_1[#All],COLUMN(),FALSE)),"",VLOOKUP($A5,benchmark_1[#All],COLUMN(),FALSE))</f>
        <v>0.5093553472222222</v>
      </c>
      <c r="H5" s="8">
        <f>IF(ISNA(_xlfn.NUMBERVALUE(VLOOKUP($A5,benchmark_1[#All],COLUMN(),FALSE),".")),"",ROUNDDOWN(_xlfn.NUMBERVALUE(VLOOKUP($A5,benchmark_1[#All],COLUMN(),FALSE),"."),2))</f>
        <v>0.38</v>
      </c>
      <c r="I5" s="5">
        <f>IF(Benchmark[[#This Row],[extract start]]="","",ROUNDUP(A5/Benchmark[[#This Row],[nb_feature]],0))</f>
        <v>14</v>
      </c>
      <c r="J5" s="6">
        <f>IF(Benchmark[[#This Row],[extract start]]="","",ROUNDUP((C5-B5)*60*24,0))</f>
        <v>10</v>
      </c>
      <c r="K5" s="6">
        <f>IF(Benchmark[[#This Row],[extract start]]="","",ROUNDUP((E5-D5)*60*24,0))</f>
        <v>6</v>
      </c>
      <c r="L5" s="6">
        <f>IF(Benchmark[[#This Row],[extract start]]="","",ROUNDUP((G5-F5)*60*24,0))</f>
        <v>16</v>
      </c>
      <c r="M5" s="6" t="b">
        <f>IF(Benchmark[[#This Row],[extract start]]="",FALSE,TRUE)</f>
        <v>1</v>
      </c>
      <c r="N5" t="s">
        <v>15</v>
      </c>
      <c r="O5">
        <f>VLOOKUP(Benchmark[[#This Row],[feature_type]],Variables[#All],2)</f>
        <v>30</v>
      </c>
    </row>
    <row r="6" spans="1:19" x14ac:dyDescent="0.45">
      <c r="A6">
        <v>500</v>
      </c>
      <c r="B6" s="3">
        <f>IF(ISNA(VLOOKUP($A6,benchmark_1[#All],COLUMN(),FALSE)),"",VLOOKUP($A6,benchmark_1[#All],COLUMN(),FALSE))</f>
        <v>0.50973484953703707</v>
      </c>
      <c r="C6" s="3">
        <f>IF(ISNA(VLOOKUP($A6,benchmark_1[#All],COLUMN(),FALSE)),"",VLOOKUP($A6,benchmark_1[#All],COLUMN(),FALSE))</f>
        <v>0.51778631944444442</v>
      </c>
      <c r="D6" s="3">
        <f>IF(ISNA(VLOOKUP($A6,benchmark_1[#All],COLUMN(),FALSE)),"",VLOOKUP($A6,benchmark_1[#All],COLUMN(),FALSE))</f>
        <v>0.51778662037037038</v>
      </c>
      <c r="E6" s="3">
        <f>IF(ISNA(VLOOKUP($A6,benchmark_1[#All],COLUMN(),FALSE)),"",VLOOKUP($A6,benchmark_1[#All],COLUMN(),FALSE))</f>
        <v>0.52416277777777776</v>
      </c>
      <c r="F6" s="3">
        <f>IF(ISNA(VLOOKUP($A6,benchmark_1[#All],COLUMN(),FALSE)),"",VLOOKUP($A6,benchmark_1[#All],COLUMN(),FALSE))</f>
        <v>0.52626938657407407</v>
      </c>
      <c r="G6" s="3">
        <f>IF(ISNA(VLOOKUP($A6,benchmark_1[#All],COLUMN(),FALSE)),"",VLOOKUP($A6,benchmark_1[#All],COLUMN(),FALSE))</f>
        <v>0.54396456018518513</v>
      </c>
      <c r="H6" s="8">
        <f>IF(ISNA(_xlfn.NUMBERVALUE(VLOOKUP($A6,benchmark_1[#All],COLUMN(),FALSE),".")),"",ROUNDDOWN(_xlfn.NUMBERVALUE(VLOOKUP($A6,benchmark_1[#All],COLUMN(),FALSE),"."),2))</f>
        <v>0.41</v>
      </c>
      <c r="I6" s="5">
        <f>IF(Benchmark[[#This Row],[extract start]]="","",ROUNDUP(A6/Benchmark[[#This Row],[nb_feature]],0))</f>
        <v>17</v>
      </c>
      <c r="J6" s="6">
        <f>IF(Benchmark[[#This Row],[extract start]]="","",ROUNDUP((C6-B6)*60*24,0))</f>
        <v>12</v>
      </c>
      <c r="K6" s="6">
        <f>IF(Benchmark[[#This Row],[extract start]]="","",ROUNDUP((E6-D6)*60*24,0))</f>
        <v>10</v>
      </c>
      <c r="L6" s="6">
        <f>IF(Benchmark[[#This Row],[extract start]]="","",ROUNDUP((G6-F6)*60*24,0))</f>
        <v>26</v>
      </c>
      <c r="M6" s="6" t="b">
        <f>IF(Benchmark[[#This Row],[extract start]]="",FALSE,TRUE)</f>
        <v>1</v>
      </c>
      <c r="N6" t="s">
        <v>15</v>
      </c>
      <c r="O6">
        <f>VLOOKUP(Benchmark[[#This Row],[feature_type]],Variables[#All],2)</f>
        <v>30</v>
      </c>
    </row>
    <row r="7" spans="1:19" x14ac:dyDescent="0.45">
      <c r="A7">
        <v>600</v>
      </c>
      <c r="B7" s="3">
        <f>IF(ISNA(VLOOKUP($A7,benchmark_1[#All],COLUMN(),FALSE)),"",VLOOKUP($A7,benchmark_1[#All],COLUMN(),FALSE))</f>
        <v>0.5443816782407408</v>
      </c>
      <c r="C7" s="3">
        <f>IF(ISNA(VLOOKUP($A7,benchmark_1[#All],COLUMN(),FALSE)),"",VLOOKUP($A7,benchmark_1[#All],COLUMN(),FALSE))</f>
        <v>0.55353508101851856</v>
      </c>
      <c r="D7" s="3">
        <f>IF(ISNA(VLOOKUP($A7,benchmark_1[#All],COLUMN(),FALSE)),"",VLOOKUP($A7,benchmark_1[#All],COLUMN(),FALSE))</f>
        <v>0.5535353819444444</v>
      </c>
      <c r="E7" s="3">
        <f>IF(ISNA(VLOOKUP($A7,benchmark_1[#All],COLUMN(),FALSE)),"",VLOOKUP($A7,benchmark_1[#All],COLUMN(),FALSE))</f>
        <v>0.56223564814814819</v>
      </c>
      <c r="F7" s="3">
        <f>IF(ISNA(VLOOKUP($A7,benchmark_1[#All],COLUMN(),FALSE)),"",VLOOKUP($A7,benchmark_1[#All],COLUMN(),FALSE))</f>
        <v>0.56495314814814812</v>
      </c>
      <c r="G7" s="3">
        <f>IF(ISNA(VLOOKUP($A7,benchmark_1[#All],COLUMN(),FALSE)),"",VLOOKUP($A7,benchmark_1[#All],COLUMN(),FALSE))</f>
        <v>0.59055854166666666</v>
      </c>
      <c r="H7" s="8">
        <f>IF(ISNA(_xlfn.NUMBERVALUE(VLOOKUP($A7,benchmark_1[#All],COLUMN(),FALSE),".")),"",ROUNDDOWN(_xlfn.NUMBERVALUE(VLOOKUP($A7,benchmark_1[#All],COLUMN(),FALSE),"."),2))</f>
        <v>0.38</v>
      </c>
      <c r="I7" s="5">
        <f>IF(Benchmark[[#This Row],[extract start]]="","",ROUNDUP(A7/Benchmark[[#This Row],[nb_feature]],0))</f>
        <v>20</v>
      </c>
      <c r="J7" s="6">
        <f>IF(Benchmark[[#This Row],[extract start]]="","",ROUNDUP((C7-B7)*60*24,0))</f>
        <v>14</v>
      </c>
      <c r="K7" s="6">
        <f>IF(Benchmark[[#This Row],[extract start]]="","",ROUNDUP((E7-D7)*60*24,0))</f>
        <v>13</v>
      </c>
      <c r="L7" s="6">
        <f>IF(Benchmark[[#This Row],[extract start]]="","",ROUNDUP((G7-F7)*60*24,0))</f>
        <v>37</v>
      </c>
      <c r="M7" s="6" t="b">
        <f>IF(Benchmark[[#This Row],[extract start]]="",FALSE,TRUE)</f>
        <v>1</v>
      </c>
      <c r="N7" t="s">
        <v>15</v>
      </c>
      <c r="O7">
        <f>VLOOKUP(Benchmark[[#This Row],[feature_type]],Variables[#All],2)</f>
        <v>30</v>
      </c>
    </row>
    <row r="8" spans="1:19" x14ac:dyDescent="0.45">
      <c r="A8">
        <v>700</v>
      </c>
      <c r="B8" s="3">
        <f>IF(ISNA(VLOOKUP($A8,benchmark_1[#All],COLUMN(),FALSE)),"",VLOOKUP($A8,benchmark_1[#All],COLUMN(),FALSE))</f>
        <v>0.59102850694444442</v>
      </c>
      <c r="C8" s="3">
        <f>IF(ISNA(VLOOKUP($A8,benchmark_1[#All],COLUMN(),FALSE)),"",VLOOKUP($A8,benchmark_1[#All],COLUMN(),FALSE))</f>
        <v>0.60204583333333328</v>
      </c>
      <c r="D8" s="3">
        <f>IF(ISNA(VLOOKUP($A8,benchmark_1[#All],COLUMN(),FALSE)),"",VLOOKUP($A8,benchmark_1[#All],COLUMN(),FALSE))</f>
        <v>0.60204623842592597</v>
      </c>
      <c r="E8" s="3">
        <f>IF(ISNA(VLOOKUP($A8,benchmark_1[#All],COLUMN(),FALSE)),"",VLOOKUP($A8,benchmark_1[#All],COLUMN(),FALSE))</f>
        <v>0.61368206018518523</v>
      </c>
      <c r="F8" s="3">
        <f>IF(ISNA(VLOOKUP($A8,benchmark_1[#All],COLUMN(),FALSE)),"",VLOOKUP($A8,benchmark_1[#All],COLUMN(),FALSE))</f>
        <v>0.61728017361111109</v>
      </c>
      <c r="G8" s="3">
        <f>IF(ISNA(VLOOKUP($A8,benchmark_1[#All],COLUMN(),FALSE)),"",VLOOKUP($A8,benchmark_1[#All],COLUMN(),FALSE))</f>
        <v>0.64965848379629632</v>
      </c>
      <c r="H8" s="8">
        <f>IF(ISNA(_xlfn.NUMBERVALUE(VLOOKUP($A8,benchmark_1[#All],COLUMN(),FALSE),".")),"",ROUNDDOWN(_xlfn.NUMBERVALUE(VLOOKUP($A8,benchmark_1[#All],COLUMN(),FALSE),"."),2))</f>
        <v>0.36</v>
      </c>
      <c r="I8" s="5">
        <f>IF(Benchmark[[#This Row],[extract start]]="","",ROUNDUP(A8/Benchmark[[#This Row],[nb_feature]],0))</f>
        <v>24</v>
      </c>
      <c r="J8" s="6">
        <f>IF(Benchmark[[#This Row],[extract start]]="","",ROUNDUP((C8-B8)*60*24,0))</f>
        <v>16</v>
      </c>
      <c r="K8" s="6">
        <f>IF(Benchmark[[#This Row],[extract start]]="","",ROUNDUP((E8-D8)*60*24,0))</f>
        <v>17</v>
      </c>
      <c r="L8" s="6">
        <f>IF(Benchmark[[#This Row],[extract start]]="","",ROUNDUP((G8-F8)*60*24,0))</f>
        <v>47</v>
      </c>
      <c r="M8" s="6" t="b">
        <f>IF(Benchmark[[#This Row],[extract start]]="",FALSE,TRUE)</f>
        <v>1</v>
      </c>
      <c r="N8" t="s">
        <v>15</v>
      </c>
      <c r="O8">
        <f>VLOOKUP(Benchmark[[#This Row],[feature_type]],Variables[#All],2)</f>
        <v>30</v>
      </c>
    </row>
    <row r="9" spans="1:19" x14ac:dyDescent="0.45">
      <c r="A9">
        <v>800</v>
      </c>
      <c r="B9" s="3">
        <f>IF(ISNA(VLOOKUP($A9,benchmark_1[#All],COLUMN(),FALSE)),"",VLOOKUP($A9,benchmark_1[#All],COLUMN(),FALSE))</f>
        <v>0.65019969907407404</v>
      </c>
      <c r="C9" s="3">
        <f>IF(ISNA(VLOOKUP($A9,benchmark_1[#All],COLUMN(),FALSE)),"",VLOOKUP($A9,benchmark_1[#All],COLUMN(),FALSE))</f>
        <v>0.66259495370370369</v>
      </c>
      <c r="D9" s="3">
        <f>IF(ISNA(VLOOKUP($A9,benchmark_1[#All],COLUMN(),FALSE)),"",VLOOKUP($A9,benchmark_1[#All],COLUMN(),FALSE))</f>
        <v>0.66259531250000003</v>
      </c>
      <c r="E9" s="3">
        <f>IF(ISNA(VLOOKUP($A9,benchmark_1[#All],COLUMN(),FALSE)),"",VLOOKUP($A9,benchmark_1[#All],COLUMN(),FALSE))</f>
        <v>0.67824283564814813</v>
      </c>
      <c r="F9" s="3">
        <f>IF(ISNA(VLOOKUP($A9,benchmark_1[#All],COLUMN(),FALSE)),"",VLOOKUP($A9,benchmark_1[#All],COLUMN(),FALSE))</f>
        <v>0.68289353009259257</v>
      </c>
      <c r="G9" s="3">
        <f>IF(ISNA(VLOOKUP($A9,benchmark_1[#All],COLUMN(),FALSE)),"",VLOOKUP($A9,benchmark_1[#All],COLUMN(),FALSE))</f>
        <v>0.72393718750000002</v>
      </c>
      <c r="H9" s="8">
        <f>IF(ISNA(_xlfn.NUMBERVALUE(VLOOKUP($A9,benchmark_1[#All],COLUMN(),FALSE),".")),"",ROUNDDOWN(_xlfn.NUMBERVALUE(VLOOKUP($A9,benchmark_1[#All],COLUMN(),FALSE),"."),2))</f>
        <v>0.4</v>
      </c>
      <c r="I9" s="5">
        <f>IF(Benchmark[[#This Row],[extract start]]="","",ROUNDUP(A9/Benchmark[[#This Row],[nb_feature]],0))</f>
        <v>27</v>
      </c>
      <c r="J9" s="6">
        <f>IF(Benchmark[[#This Row],[extract start]]="","",ROUNDUP((C9-B9)*60*24,0))</f>
        <v>18</v>
      </c>
      <c r="K9" s="6">
        <f>IF(Benchmark[[#This Row],[extract start]]="","",ROUNDUP((E9-D9)*60*24,0))</f>
        <v>23</v>
      </c>
      <c r="L9" s="6">
        <f>IF(Benchmark[[#This Row],[extract start]]="","",ROUNDUP((G9-F9)*60*24,0))</f>
        <v>60</v>
      </c>
      <c r="M9" s="6" t="b">
        <f>IF(Benchmark[[#This Row],[extract start]]="",FALSE,TRUE)</f>
        <v>1</v>
      </c>
      <c r="N9" t="s">
        <v>15</v>
      </c>
      <c r="O9">
        <f>VLOOKUP(Benchmark[[#This Row],[feature_type]],Variables[#All],2)</f>
        <v>30</v>
      </c>
    </row>
    <row r="10" spans="1:19" x14ac:dyDescent="0.45">
      <c r="A10">
        <v>900</v>
      </c>
      <c r="B10" s="3" t="str">
        <f>IF(ISNA(VLOOKUP($A10,benchmark_1[#All],COLUMN(),FALSE)),"",VLOOKUP($A10,benchmark_1[#All],COLUMN(),FALSE))</f>
        <v/>
      </c>
      <c r="C10" s="3" t="str">
        <f>IF(ISNA(VLOOKUP($A10,benchmark_1[#All],COLUMN(),FALSE)),"",VLOOKUP($A10,benchmark_1[#All],COLUMN(),FALSE))</f>
        <v/>
      </c>
      <c r="D10" s="3" t="str">
        <f>IF(ISNA(VLOOKUP($A10,benchmark_1[#All],COLUMN(),FALSE)),"",VLOOKUP($A10,benchmark_1[#All],COLUMN(),FALSE))</f>
        <v/>
      </c>
      <c r="E10" s="3" t="str">
        <f>IF(ISNA(VLOOKUP($A10,benchmark_1[#All],COLUMN(),FALSE)),"",VLOOKUP($A10,benchmark_1[#All],COLUMN(),FALSE))</f>
        <v/>
      </c>
      <c r="F10" s="3" t="str">
        <f>IF(ISNA(VLOOKUP($A10,benchmark_1[#All],COLUMN(),FALSE)),"",VLOOKUP($A10,benchmark_1[#All],COLUMN(),FALSE))</f>
        <v/>
      </c>
      <c r="G10" s="3" t="str">
        <f>IF(ISNA(VLOOKUP($A10,benchmark_1[#All],COLUMN(),FALSE)),"",VLOOKUP($A10,benchmark_1[#All],COLUMN(),FALSE))</f>
        <v/>
      </c>
      <c r="H10" s="8" t="str">
        <f>IF(ISNA(_xlfn.NUMBERVALUE(VLOOKUP($A10,benchmark_1[#All],COLUMN(),FALSE),".")),"",ROUNDDOWN(_xlfn.NUMBERVALUE(VLOOKUP($A10,benchmark_1[#All],COLUMN(),FALSE),"."),2))</f>
        <v/>
      </c>
      <c r="I10" s="5" t="str">
        <f>IF(Benchmark[[#This Row],[extract start]]="","",ROUNDUP(A10/Benchmark[[#This Row],[nb_feature]],0))</f>
        <v/>
      </c>
      <c r="J10" s="6" t="str">
        <f>IF(Benchmark[[#This Row],[extract start]]="","",ROUNDUP((C10-B10)*60*24,0))</f>
        <v/>
      </c>
      <c r="K10" s="6" t="str">
        <f>IF(Benchmark[[#This Row],[extract start]]="","",ROUNDUP((E10-D10)*60*24,0))</f>
        <v/>
      </c>
      <c r="L10" s="6" t="str">
        <f>IF(Benchmark[[#This Row],[extract start]]="","",ROUNDUP((G10-F10)*60*24,0))</f>
        <v/>
      </c>
      <c r="M10" s="6" t="b">
        <f>IF(Benchmark[[#This Row],[extract start]]="",FALSE,TRUE)</f>
        <v>0</v>
      </c>
      <c r="N10" t="s">
        <v>15</v>
      </c>
      <c r="O10">
        <f>VLOOKUP(Benchmark[[#This Row],[feature_type]],Variables[#All],2)</f>
        <v>30</v>
      </c>
    </row>
    <row r="11" spans="1:19" x14ac:dyDescent="0.45">
      <c r="A11">
        <v>1000</v>
      </c>
      <c r="B11" s="3" t="str">
        <f>IF(ISNA(VLOOKUP($A11,benchmark_1[#All],COLUMN(),FALSE)),"",VLOOKUP($A11,benchmark_1[#All],COLUMN(),FALSE))</f>
        <v/>
      </c>
      <c r="C11" s="3" t="str">
        <f>IF(ISNA(VLOOKUP($A11,benchmark_1[#All],COLUMN(),FALSE)),"",VLOOKUP($A11,benchmark_1[#All],COLUMN(),FALSE))</f>
        <v/>
      </c>
      <c r="D11" s="3" t="str">
        <f>IF(ISNA(VLOOKUP($A11,benchmark_1[#All],COLUMN(),FALSE)),"",VLOOKUP($A11,benchmark_1[#All],COLUMN(),FALSE))</f>
        <v/>
      </c>
      <c r="E11" s="3" t="str">
        <f>IF(ISNA(VLOOKUP($A11,benchmark_1[#All],COLUMN(),FALSE)),"",VLOOKUP($A11,benchmark_1[#All],COLUMN(),FALSE))</f>
        <v/>
      </c>
      <c r="F11" s="3" t="str">
        <f>IF(ISNA(VLOOKUP($A11,benchmark_1[#All],COLUMN(),FALSE)),"",VLOOKUP($A11,benchmark_1[#All],COLUMN(),FALSE))</f>
        <v/>
      </c>
      <c r="G11" s="3" t="str">
        <f>IF(ISNA(VLOOKUP($A11,benchmark_1[#All],COLUMN(),FALSE)),"",VLOOKUP($A11,benchmark_1[#All],COLUMN(),FALSE))</f>
        <v/>
      </c>
      <c r="H11" s="8" t="str">
        <f>IF(ISNA(_xlfn.NUMBERVALUE(VLOOKUP($A11,benchmark_1[#All],COLUMN(),FALSE),".")),"",ROUNDDOWN(_xlfn.NUMBERVALUE(VLOOKUP($A11,benchmark_1[#All],COLUMN(),FALSE),"."),2))</f>
        <v/>
      </c>
      <c r="I11" s="5" t="str">
        <f>IF(Benchmark[[#This Row],[extract start]]="","",ROUNDUP(A11/Benchmark[[#This Row],[nb_feature]],0))</f>
        <v/>
      </c>
      <c r="J11" s="6" t="str">
        <f>IF(Benchmark[[#This Row],[extract start]]="","",ROUNDUP((C11-B11)*60*24,0))</f>
        <v/>
      </c>
      <c r="K11" s="6" t="str">
        <f>IF(Benchmark[[#This Row],[extract start]]="","",ROUNDUP((E11-D11)*60*24,0))</f>
        <v/>
      </c>
      <c r="L11" s="6" t="str">
        <f>IF(Benchmark[[#This Row],[extract start]]="","",ROUNDUP((G11-F11)*60*24,0))</f>
        <v/>
      </c>
      <c r="M11" s="6" t="b">
        <f>IF(Benchmark[[#This Row],[extract start]]="",FALSE,TRUE)</f>
        <v>0</v>
      </c>
      <c r="N11" t="s">
        <v>15</v>
      </c>
      <c r="O11">
        <f>VLOOKUP(Benchmark[[#This Row],[feature_type]],Variables[#All],2)</f>
        <v>30</v>
      </c>
    </row>
    <row r="12" spans="1:19" x14ac:dyDescent="0.45">
      <c r="A12">
        <v>2000</v>
      </c>
      <c r="B12" s="3" t="str">
        <f>IF(ISNA(VLOOKUP($A12,benchmark_1[#All],COLUMN(),FALSE)),"",VLOOKUP($A12,benchmark_1[#All],COLUMN(),FALSE))</f>
        <v/>
      </c>
      <c r="C12" s="3" t="str">
        <f>IF(ISNA(VLOOKUP($A12,benchmark_1[#All],COLUMN(),FALSE)),"",VLOOKUP($A12,benchmark_1[#All],COLUMN(),FALSE))</f>
        <v/>
      </c>
      <c r="D12" s="3" t="str">
        <f>IF(ISNA(VLOOKUP($A12,benchmark_1[#All],COLUMN(),FALSE)),"",VLOOKUP($A12,benchmark_1[#All],COLUMN(),FALSE))</f>
        <v/>
      </c>
      <c r="E12" s="3" t="str">
        <f>IF(ISNA(VLOOKUP($A12,benchmark_1[#All],COLUMN(),FALSE)),"",VLOOKUP($A12,benchmark_1[#All],COLUMN(),FALSE))</f>
        <v/>
      </c>
      <c r="F12" s="3" t="str">
        <f>IF(ISNA(VLOOKUP($A12,benchmark_1[#All],COLUMN(),FALSE)),"",VLOOKUP($A12,benchmark_1[#All],COLUMN(),FALSE))</f>
        <v/>
      </c>
      <c r="G12" s="3" t="str">
        <f>IF(ISNA(VLOOKUP($A12,benchmark_1[#All],COLUMN(),FALSE)),"",VLOOKUP($A12,benchmark_1[#All],COLUMN(),FALSE))</f>
        <v/>
      </c>
      <c r="H12" s="8" t="str">
        <f>IF(ISNA(_xlfn.NUMBERVALUE(VLOOKUP($A12,benchmark_1[#All],COLUMN(),FALSE),".")),"",ROUNDDOWN(_xlfn.NUMBERVALUE(VLOOKUP($A12,benchmark_1[#All],COLUMN(),FALSE),"."),2))</f>
        <v/>
      </c>
      <c r="I12" s="5" t="str">
        <f>IF(Benchmark[[#This Row],[extract start]]="","",ROUNDUP(A12/Benchmark[[#This Row],[nb_feature]],0))</f>
        <v/>
      </c>
      <c r="J12" s="6" t="str">
        <f>IF(Benchmark[[#This Row],[extract start]]="","",ROUNDUP((C12-B12)*60*24,0))</f>
        <v/>
      </c>
      <c r="K12" s="6" t="str">
        <f>IF(Benchmark[[#This Row],[extract start]]="","",ROUNDUP((E12-D12)*60*24,0))</f>
        <v/>
      </c>
      <c r="L12" s="6" t="str">
        <f>IF(Benchmark[[#This Row],[extract start]]="","",ROUNDUP((G12-F12)*60*24,0))</f>
        <v/>
      </c>
      <c r="M12" s="6" t="b">
        <f>IF(Benchmark[[#This Row],[extract start]]="",FALSE,TRUE)</f>
        <v>0</v>
      </c>
      <c r="N12" t="s">
        <v>15</v>
      </c>
      <c r="O12">
        <f>VLOOKUP(Benchmark[[#This Row],[feature_type]],Variables[#All],2)</f>
        <v>30</v>
      </c>
    </row>
    <row r="13" spans="1:19" x14ac:dyDescent="0.45">
      <c r="A13">
        <v>3000</v>
      </c>
      <c r="B13" s="3" t="str">
        <f>IF(ISNA(VLOOKUP($A13,benchmark_1[#All],COLUMN(),FALSE)),"",VLOOKUP($A13,benchmark_1[#All],COLUMN(),FALSE))</f>
        <v/>
      </c>
      <c r="C13" s="3" t="str">
        <f>IF(ISNA(VLOOKUP($A13,benchmark_1[#All],COLUMN(),FALSE)),"",VLOOKUP($A13,benchmark_1[#All],COLUMN(),FALSE))</f>
        <v/>
      </c>
      <c r="D13" s="3" t="str">
        <f>IF(ISNA(VLOOKUP($A13,benchmark_1[#All],COLUMN(),FALSE)),"",VLOOKUP($A13,benchmark_1[#All],COLUMN(),FALSE))</f>
        <v/>
      </c>
      <c r="E13" s="3" t="str">
        <f>IF(ISNA(VLOOKUP($A13,benchmark_1[#All],COLUMN(),FALSE)),"",VLOOKUP($A13,benchmark_1[#All],COLUMN(),FALSE))</f>
        <v/>
      </c>
      <c r="F13" s="3" t="str">
        <f>IF(ISNA(VLOOKUP($A13,benchmark_1[#All],COLUMN(),FALSE)),"",VLOOKUP($A13,benchmark_1[#All],COLUMN(),FALSE))</f>
        <v/>
      </c>
      <c r="G13" s="3" t="str">
        <f>IF(ISNA(VLOOKUP($A13,benchmark_1[#All],COLUMN(),FALSE)),"",VLOOKUP($A13,benchmark_1[#All],COLUMN(),FALSE))</f>
        <v/>
      </c>
      <c r="H13" s="8" t="str">
        <f>IF(ISNA(_xlfn.NUMBERVALUE(VLOOKUP($A13,benchmark_1[#All],COLUMN(),FALSE),".")),"",ROUNDDOWN(_xlfn.NUMBERVALUE(VLOOKUP($A13,benchmark_1[#All],COLUMN(),FALSE),"."),2))</f>
        <v/>
      </c>
      <c r="I13" s="5" t="str">
        <f>IF(Benchmark[[#This Row],[extract start]]="","",ROUNDUP(A13/Benchmark[[#This Row],[nb_feature]],0))</f>
        <v/>
      </c>
      <c r="J13" s="6" t="str">
        <f>IF(Benchmark[[#This Row],[extract start]]="","",ROUNDUP((C13-B13)*60*24,0))</f>
        <v/>
      </c>
      <c r="K13" s="6" t="str">
        <f>IF(Benchmark[[#This Row],[extract start]]="","",ROUNDUP((E13-D13)*60*24,0))</f>
        <v/>
      </c>
      <c r="L13" s="6" t="str">
        <f>IF(Benchmark[[#This Row],[extract start]]="","",ROUNDUP((G13-F13)*60*24,0))</f>
        <v/>
      </c>
      <c r="M13" s="6" t="b">
        <f>IF(Benchmark[[#This Row],[extract start]]="",FALSE,TRUE)</f>
        <v>0</v>
      </c>
      <c r="N13" t="s">
        <v>15</v>
      </c>
      <c r="O13">
        <f>VLOOKUP(Benchmark[[#This Row],[feature_type]],Variables[#All],2)</f>
        <v>30</v>
      </c>
    </row>
    <row r="14" spans="1:19" x14ac:dyDescent="0.45">
      <c r="A14">
        <v>4000</v>
      </c>
      <c r="B14" s="3" t="str">
        <f>IF(ISNA(VLOOKUP($A14,benchmark_1[#All],COLUMN(),FALSE)),"",VLOOKUP($A14,benchmark_1[#All],COLUMN(),FALSE))</f>
        <v/>
      </c>
      <c r="C14" s="3" t="str">
        <f>IF(ISNA(VLOOKUP($A14,benchmark_1[#All],COLUMN(),FALSE)),"",VLOOKUP($A14,benchmark_1[#All],COLUMN(),FALSE))</f>
        <v/>
      </c>
      <c r="D14" s="3" t="str">
        <f>IF(ISNA(VLOOKUP($A14,benchmark_1[#All],COLUMN(),FALSE)),"",VLOOKUP($A14,benchmark_1[#All],COLUMN(),FALSE))</f>
        <v/>
      </c>
      <c r="E14" s="3" t="str">
        <f>IF(ISNA(VLOOKUP($A14,benchmark_1[#All],COLUMN(),FALSE)),"",VLOOKUP($A14,benchmark_1[#All],COLUMN(),FALSE))</f>
        <v/>
      </c>
      <c r="F14" s="3" t="str">
        <f>IF(ISNA(VLOOKUP($A14,benchmark_1[#All],COLUMN(),FALSE)),"",VLOOKUP($A14,benchmark_1[#All],COLUMN(),FALSE))</f>
        <v/>
      </c>
      <c r="G14" s="3" t="str">
        <f>IF(ISNA(VLOOKUP($A14,benchmark_1[#All],COLUMN(),FALSE)),"",VLOOKUP($A14,benchmark_1[#All],COLUMN(),FALSE))</f>
        <v/>
      </c>
      <c r="H14" s="8" t="str">
        <f>IF(ISNA(_xlfn.NUMBERVALUE(VLOOKUP($A14,benchmark_1[#All],COLUMN(),FALSE),".")),"",ROUNDDOWN(_xlfn.NUMBERVALUE(VLOOKUP($A14,benchmark_1[#All],COLUMN(),FALSE),"."),2))</f>
        <v/>
      </c>
      <c r="I14" s="5" t="str">
        <f>IF(Benchmark[[#This Row],[extract start]]="","",ROUNDUP(A14/Benchmark[[#This Row],[nb_feature]],0))</f>
        <v/>
      </c>
      <c r="J14" s="6" t="str">
        <f>IF(Benchmark[[#This Row],[extract start]]="","",ROUNDUP((C14-B14)*60*24,0))</f>
        <v/>
      </c>
      <c r="K14" s="6" t="str">
        <f>IF(Benchmark[[#This Row],[extract start]]="","",ROUNDUP((E14-D14)*60*24,0))</f>
        <v/>
      </c>
      <c r="L14" s="6" t="str">
        <f>IF(Benchmark[[#This Row],[extract start]]="","",ROUNDUP((G14-F14)*60*24,0))</f>
        <v/>
      </c>
      <c r="M14" s="6" t="b">
        <f>IF(Benchmark[[#This Row],[extract start]]="",FALSE,TRUE)</f>
        <v>0</v>
      </c>
      <c r="N14" t="s">
        <v>15</v>
      </c>
      <c r="O14">
        <f>VLOOKUP(Benchmark[[#This Row],[feature_type]],Variables[#All],2)</f>
        <v>30</v>
      </c>
    </row>
    <row r="15" spans="1:19" x14ac:dyDescent="0.45">
      <c r="A15">
        <v>5000</v>
      </c>
      <c r="B15" s="3" t="str">
        <f>IF(ISNA(VLOOKUP($A15,benchmark_1[#All],COLUMN(),FALSE)),"",VLOOKUP($A15,benchmark_1[#All],COLUMN(),FALSE))</f>
        <v/>
      </c>
      <c r="C15" s="3" t="str">
        <f>IF(ISNA(VLOOKUP($A15,benchmark_1[#All],COLUMN(),FALSE)),"",VLOOKUP($A15,benchmark_1[#All],COLUMN(),FALSE))</f>
        <v/>
      </c>
      <c r="D15" s="3" t="str">
        <f>IF(ISNA(VLOOKUP($A15,benchmark_1[#All],COLUMN(),FALSE)),"",VLOOKUP($A15,benchmark_1[#All],COLUMN(),FALSE))</f>
        <v/>
      </c>
      <c r="E15" s="3" t="str">
        <f>IF(ISNA(VLOOKUP($A15,benchmark_1[#All],COLUMN(),FALSE)),"",VLOOKUP($A15,benchmark_1[#All],COLUMN(),FALSE))</f>
        <v/>
      </c>
      <c r="F15" s="3" t="str">
        <f>IF(ISNA(VLOOKUP($A15,benchmark_1[#All],COLUMN(),FALSE)),"",VLOOKUP($A15,benchmark_1[#All],COLUMN(),FALSE))</f>
        <v/>
      </c>
      <c r="G15" s="3" t="str">
        <f>IF(ISNA(VLOOKUP($A15,benchmark_1[#All],COLUMN(),FALSE)),"",VLOOKUP($A15,benchmark_1[#All],COLUMN(),FALSE))</f>
        <v/>
      </c>
      <c r="H15" s="8" t="str">
        <f>IF(ISNA(_xlfn.NUMBERVALUE(VLOOKUP($A15,benchmark_1[#All],COLUMN(),FALSE),".")),"",ROUNDDOWN(_xlfn.NUMBERVALUE(VLOOKUP($A15,benchmark_1[#All],COLUMN(),FALSE),"."),2))</f>
        <v/>
      </c>
      <c r="I15" s="5" t="str">
        <f>IF(Benchmark[[#This Row],[extract start]]="","",ROUNDUP(A15/Benchmark[[#This Row],[nb_feature]],0))</f>
        <v/>
      </c>
      <c r="J15" s="6" t="str">
        <f>IF(Benchmark[[#This Row],[extract start]]="","",ROUNDUP((C15-B15)*60*24,0))</f>
        <v/>
      </c>
      <c r="K15" s="6" t="str">
        <f>IF(Benchmark[[#This Row],[extract start]]="","",ROUNDUP((E15-D15)*60*24,0))</f>
        <v/>
      </c>
      <c r="L15" s="6" t="str">
        <f>IF(Benchmark[[#This Row],[extract start]]="","",ROUNDUP((G15-F15)*60*24,0))</f>
        <v/>
      </c>
      <c r="M15" s="6" t="b">
        <f>IF(Benchmark[[#This Row],[extract start]]="",FALSE,TRUE)</f>
        <v>0</v>
      </c>
      <c r="N15" t="s">
        <v>15</v>
      </c>
      <c r="O15">
        <f>VLOOKUP(Benchmark[[#This Row],[feature_type]],Variables[#All],2)</f>
        <v>30</v>
      </c>
    </row>
    <row r="16" spans="1:19" x14ac:dyDescent="0.45">
      <c r="A16">
        <v>6000</v>
      </c>
      <c r="B16" s="3" t="str">
        <f>IF(ISNA(VLOOKUP($A16,benchmark_1[#All],COLUMN(),FALSE)),"",VLOOKUP($A16,benchmark_1[#All],COLUMN(),FALSE))</f>
        <v/>
      </c>
      <c r="C16" s="3" t="str">
        <f>IF(ISNA(VLOOKUP($A16,benchmark_1[#All],COLUMN(),FALSE)),"",VLOOKUP($A16,benchmark_1[#All],COLUMN(),FALSE))</f>
        <v/>
      </c>
      <c r="D16" s="3" t="str">
        <f>IF(ISNA(VLOOKUP($A16,benchmark_1[#All],COLUMN(),FALSE)),"",VLOOKUP($A16,benchmark_1[#All],COLUMN(),FALSE))</f>
        <v/>
      </c>
      <c r="E16" s="3" t="str">
        <f>IF(ISNA(VLOOKUP($A16,benchmark_1[#All],COLUMN(),FALSE)),"",VLOOKUP($A16,benchmark_1[#All],COLUMN(),FALSE))</f>
        <v/>
      </c>
      <c r="F16" s="3" t="str">
        <f>IF(ISNA(VLOOKUP($A16,benchmark_1[#All],COLUMN(),FALSE)),"",VLOOKUP($A16,benchmark_1[#All],COLUMN(),FALSE))</f>
        <v/>
      </c>
      <c r="G16" s="3" t="str">
        <f>IF(ISNA(VLOOKUP($A16,benchmark_1[#All],COLUMN(),FALSE)),"",VLOOKUP($A16,benchmark_1[#All],COLUMN(),FALSE))</f>
        <v/>
      </c>
      <c r="H16" s="8" t="str">
        <f>IF(ISNA(_xlfn.NUMBERVALUE(VLOOKUP($A16,benchmark_1[#All],COLUMN(),FALSE),".")),"",ROUNDDOWN(_xlfn.NUMBERVALUE(VLOOKUP($A16,benchmark_1[#All],COLUMN(),FALSE),"."),2))</f>
        <v/>
      </c>
      <c r="I16" s="5" t="str">
        <f>IF(Benchmark[[#This Row],[extract start]]="","",ROUNDUP(A16/Benchmark[[#This Row],[nb_feature]],0))</f>
        <v/>
      </c>
      <c r="J16" s="6" t="str">
        <f>IF(Benchmark[[#This Row],[extract start]]="","",ROUNDUP((C16-B16)*60*24,0))</f>
        <v/>
      </c>
      <c r="K16" s="6" t="str">
        <f>IF(Benchmark[[#This Row],[extract start]]="","",ROUNDUP((E16-D16)*60*24,0))</f>
        <v/>
      </c>
      <c r="L16" s="6" t="str">
        <f>IF(Benchmark[[#This Row],[extract start]]="","",ROUNDUP((G16-F16)*60*24,0))</f>
        <v/>
      </c>
      <c r="M16" s="6" t="b">
        <f>IF(Benchmark[[#This Row],[extract start]]="",FALSE,TRUE)</f>
        <v>0</v>
      </c>
      <c r="N16" t="s">
        <v>15</v>
      </c>
      <c r="O16">
        <f>VLOOKUP(Benchmark[[#This Row],[feature_type]],Variables[#All],2)</f>
        <v>30</v>
      </c>
    </row>
    <row r="17" spans="1:15" x14ac:dyDescent="0.45">
      <c r="A17">
        <v>7000</v>
      </c>
      <c r="B17" s="3" t="str">
        <f>IF(ISNA(VLOOKUP($A17,benchmark_1[#All],COLUMN(),FALSE)),"",VLOOKUP($A17,benchmark_1[#All],COLUMN(),FALSE))</f>
        <v/>
      </c>
      <c r="C17" s="3" t="str">
        <f>IF(ISNA(VLOOKUP($A17,benchmark_1[#All],COLUMN(),FALSE)),"",VLOOKUP($A17,benchmark_1[#All],COLUMN(),FALSE))</f>
        <v/>
      </c>
      <c r="D17" s="3" t="str">
        <f>IF(ISNA(VLOOKUP($A17,benchmark_1[#All],COLUMN(),FALSE)),"",VLOOKUP($A17,benchmark_1[#All],COLUMN(),FALSE))</f>
        <v/>
      </c>
      <c r="E17" s="3" t="str">
        <f>IF(ISNA(VLOOKUP($A17,benchmark_1[#All],COLUMN(),FALSE)),"",VLOOKUP($A17,benchmark_1[#All],COLUMN(),FALSE))</f>
        <v/>
      </c>
      <c r="F17" s="3" t="str">
        <f>IF(ISNA(VLOOKUP($A17,benchmark_1[#All],COLUMN(),FALSE)),"",VLOOKUP($A17,benchmark_1[#All],COLUMN(),FALSE))</f>
        <v/>
      </c>
      <c r="G17" s="3" t="str">
        <f>IF(ISNA(VLOOKUP($A17,benchmark_1[#All],COLUMN(),FALSE)),"",VLOOKUP($A17,benchmark_1[#All],COLUMN(),FALSE))</f>
        <v/>
      </c>
      <c r="H17" s="8" t="str">
        <f>IF(ISNA(_xlfn.NUMBERVALUE(VLOOKUP($A17,benchmark_1[#All],COLUMN(),FALSE),".")),"",ROUNDDOWN(_xlfn.NUMBERVALUE(VLOOKUP($A17,benchmark_1[#All],COLUMN(),FALSE),"."),2))</f>
        <v/>
      </c>
      <c r="I17" s="5" t="str">
        <f>IF(Benchmark[[#This Row],[extract start]]="","",ROUNDUP(A17/Benchmark[[#This Row],[nb_feature]],0))</f>
        <v/>
      </c>
      <c r="J17" s="6" t="str">
        <f>IF(Benchmark[[#This Row],[extract start]]="","",ROUNDUP((C17-B17)*60*24,0))</f>
        <v/>
      </c>
      <c r="K17" s="6" t="str">
        <f>IF(Benchmark[[#This Row],[extract start]]="","",ROUNDUP((E17-D17)*60*24,0))</f>
        <v/>
      </c>
      <c r="L17" s="6" t="str">
        <f>IF(Benchmark[[#This Row],[extract start]]="","",ROUNDUP((G17-F17)*60*24,0))</f>
        <v/>
      </c>
      <c r="M17" s="6" t="b">
        <f>IF(Benchmark[[#This Row],[extract start]]="",FALSE,TRUE)</f>
        <v>0</v>
      </c>
      <c r="N17" t="s">
        <v>15</v>
      </c>
      <c r="O17">
        <f>VLOOKUP(Benchmark[[#This Row],[feature_type]],Variables[#All],2)</f>
        <v>30</v>
      </c>
    </row>
    <row r="18" spans="1:15" x14ac:dyDescent="0.45">
      <c r="A18">
        <v>8000</v>
      </c>
      <c r="B18" s="3" t="str">
        <f>IF(ISNA(VLOOKUP($A18,benchmark_1[#All],COLUMN(),FALSE)),"",VLOOKUP($A18,benchmark_1[#All],COLUMN(),FALSE))</f>
        <v/>
      </c>
      <c r="C18" s="3" t="str">
        <f>IF(ISNA(VLOOKUP($A18,benchmark_1[#All],COLUMN(),FALSE)),"",VLOOKUP($A18,benchmark_1[#All],COLUMN(),FALSE))</f>
        <v/>
      </c>
      <c r="D18" s="3" t="str">
        <f>IF(ISNA(VLOOKUP($A18,benchmark_1[#All],COLUMN(),FALSE)),"",VLOOKUP($A18,benchmark_1[#All],COLUMN(),FALSE))</f>
        <v/>
      </c>
      <c r="E18" s="3" t="str">
        <f>IF(ISNA(VLOOKUP($A18,benchmark_1[#All],COLUMN(),FALSE)),"",VLOOKUP($A18,benchmark_1[#All],COLUMN(),FALSE))</f>
        <v/>
      </c>
      <c r="F18" s="3" t="str">
        <f>IF(ISNA(VLOOKUP($A18,benchmark_1[#All],COLUMN(),FALSE)),"",VLOOKUP($A18,benchmark_1[#All],COLUMN(),FALSE))</f>
        <v/>
      </c>
      <c r="G18" s="3" t="str">
        <f>IF(ISNA(VLOOKUP($A18,benchmark_1[#All],COLUMN(),FALSE)),"",VLOOKUP($A18,benchmark_1[#All],COLUMN(),FALSE))</f>
        <v/>
      </c>
      <c r="H18" s="8" t="str">
        <f>IF(ISNA(_xlfn.NUMBERVALUE(VLOOKUP($A18,benchmark_1[#All],COLUMN(),FALSE),".")),"",ROUNDDOWN(_xlfn.NUMBERVALUE(VLOOKUP($A18,benchmark_1[#All],COLUMN(),FALSE),"."),2))</f>
        <v/>
      </c>
      <c r="I18" s="5" t="str">
        <f>IF(Benchmark[[#This Row],[extract start]]="","",ROUNDUP(A18/Benchmark[[#This Row],[nb_feature]],0))</f>
        <v/>
      </c>
      <c r="J18" s="6" t="str">
        <f>IF(Benchmark[[#This Row],[extract start]]="","",ROUNDUP((C18-B18)*60*24,0))</f>
        <v/>
      </c>
      <c r="K18" s="6" t="str">
        <f>IF(Benchmark[[#This Row],[extract start]]="","",ROUNDUP((E18-D18)*60*24,0))</f>
        <v/>
      </c>
      <c r="L18" s="6" t="str">
        <f>IF(Benchmark[[#This Row],[extract start]]="","",ROUNDUP((G18-F18)*60*24,0))</f>
        <v/>
      </c>
      <c r="M18" s="6" t="b">
        <f>IF(Benchmark[[#This Row],[extract start]]="",FALSE,TRUE)</f>
        <v>0</v>
      </c>
      <c r="N18" t="s">
        <v>15</v>
      </c>
      <c r="O18">
        <f>VLOOKUP(Benchmark[[#This Row],[feature_type]],Variables[#All],2)</f>
        <v>30</v>
      </c>
    </row>
    <row r="19" spans="1:15" x14ac:dyDescent="0.45">
      <c r="A19">
        <v>9000</v>
      </c>
      <c r="B19" s="3" t="str">
        <f>IF(ISNA(VLOOKUP($A19,benchmark_1[#All],COLUMN(),FALSE)),"",VLOOKUP($A19,benchmark_1[#All],COLUMN(),FALSE))</f>
        <v/>
      </c>
      <c r="C19" s="3" t="str">
        <f>IF(ISNA(VLOOKUP($A19,benchmark_1[#All],COLUMN(),FALSE)),"",VLOOKUP($A19,benchmark_1[#All],COLUMN(),FALSE))</f>
        <v/>
      </c>
      <c r="D19" s="3" t="str">
        <f>IF(ISNA(VLOOKUP($A19,benchmark_1[#All],COLUMN(),FALSE)),"",VLOOKUP($A19,benchmark_1[#All],COLUMN(),FALSE))</f>
        <v/>
      </c>
      <c r="E19" s="3" t="str">
        <f>IF(ISNA(VLOOKUP($A19,benchmark_1[#All],COLUMN(),FALSE)),"",VLOOKUP($A19,benchmark_1[#All],COLUMN(),FALSE))</f>
        <v/>
      </c>
      <c r="F19" s="3" t="str">
        <f>IF(ISNA(VLOOKUP($A19,benchmark_1[#All],COLUMN(),FALSE)),"",VLOOKUP($A19,benchmark_1[#All],COLUMN(),FALSE))</f>
        <v/>
      </c>
      <c r="G19" s="3" t="str">
        <f>IF(ISNA(VLOOKUP($A19,benchmark_1[#All],COLUMN(),FALSE)),"",VLOOKUP($A19,benchmark_1[#All],COLUMN(),FALSE))</f>
        <v/>
      </c>
      <c r="H19" s="8" t="str">
        <f>IF(ISNA(_xlfn.NUMBERVALUE(VLOOKUP($A19,benchmark_1[#All],COLUMN(),FALSE),".")),"",ROUNDDOWN(_xlfn.NUMBERVALUE(VLOOKUP($A19,benchmark_1[#All],COLUMN(),FALSE),"."),2))</f>
        <v/>
      </c>
      <c r="I19" s="5" t="str">
        <f>IF(Benchmark[[#This Row],[extract start]]="","",ROUNDUP(A19/Benchmark[[#This Row],[nb_feature]],0))</f>
        <v/>
      </c>
      <c r="J19" s="6" t="str">
        <f>IF(Benchmark[[#This Row],[extract start]]="","",ROUNDUP((C19-B19)*60*24,0))</f>
        <v/>
      </c>
      <c r="K19" s="6" t="str">
        <f>IF(Benchmark[[#This Row],[extract start]]="","",ROUNDUP((E19-D19)*60*24,0))</f>
        <v/>
      </c>
      <c r="L19" s="6" t="str">
        <f>IF(Benchmark[[#This Row],[extract start]]="","",ROUNDUP((G19-F19)*60*24,0))</f>
        <v/>
      </c>
      <c r="M19" s="6" t="b">
        <f>IF(Benchmark[[#This Row],[extract start]]="",FALSE,TRUE)</f>
        <v>0</v>
      </c>
      <c r="N19" t="s">
        <v>15</v>
      </c>
      <c r="O19">
        <f>VLOOKUP(Benchmark[[#This Row],[feature_type]],Variables[#All],2)</f>
        <v>30</v>
      </c>
    </row>
    <row r="20" spans="1:15" x14ac:dyDescent="0.45">
      <c r="A20">
        <v>10000</v>
      </c>
      <c r="B20" s="3" t="str">
        <f>IF(ISNA(VLOOKUP($A20,benchmark_1[#All],COLUMN(),FALSE)),"",VLOOKUP($A20,benchmark_1[#All],COLUMN(),FALSE))</f>
        <v/>
      </c>
      <c r="C20" s="3" t="str">
        <f>IF(ISNA(VLOOKUP($A20,benchmark_1[#All],COLUMN(),FALSE)),"",VLOOKUP($A20,benchmark_1[#All],COLUMN(),FALSE))</f>
        <v/>
      </c>
      <c r="D20" s="3" t="str">
        <f>IF(ISNA(VLOOKUP($A20,benchmark_1[#All],COLUMN(),FALSE)),"",VLOOKUP($A20,benchmark_1[#All],COLUMN(),FALSE))</f>
        <v/>
      </c>
      <c r="E20" s="3" t="str">
        <f>IF(ISNA(VLOOKUP($A20,benchmark_1[#All],COLUMN(),FALSE)),"",VLOOKUP($A20,benchmark_1[#All],COLUMN(),FALSE))</f>
        <v/>
      </c>
      <c r="F20" s="3" t="str">
        <f>IF(ISNA(VLOOKUP($A20,benchmark_1[#All],COLUMN(),FALSE)),"",VLOOKUP($A20,benchmark_1[#All],COLUMN(),FALSE))</f>
        <v/>
      </c>
      <c r="G20" s="3" t="str">
        <f>IF(ISNA(VLOOKUP($A20,benchmark_1[#All],COLUMN(),FALSE)),"",VLOOKUP($A20,benchmark_1[#All],COLUMN(),FALSE))</f>
        <v/>
      </c>
      <c r="H20" s="8" t="str">
        <f>IF(ISNA(_xlfn.NUMBERVALUE(VLOOKUP($A20,benchmark_1[#All],COLUMN(),FALSE),".")),"",ROUNDDOWN(_xlfn.NUMBERVALUE(VLOOKUP($A20,benchmark_1[#All],COLUMN(),FALSE),"."),2))</f>
        <v/>
      </c>
      <c r="I20" s="5" t="str">
        <f>IF(Benchmark[[#This Row],[extract start]]="","",ROUNDUP(A20/Benchmark[[#This Row],[nb_feature]],0))</f>
        <v/>
      </c>
      <c r="J20" s="6" t="str">
        <f>IF(Benchmark[[#This Row],[extract start]]="","",ROUNDUP((C20-B20)*60*24,0))</f>
        <v/>
      </c>
      <c r="K20" s="6" t="str">
        <f>IF(Benchmark[[#This Row],[extract start]]="","",ROUNDUP((E20-D20)*60*24,0))</f>
        <v/>
      </c>
      <c r="L20" s="6" t="str">
        <f>IF(Benchmark[[#This Row],[extract start]]="","",ROUNDUP((G20-F20)*60*24,0))</f>
        <v/>
      </c>
      <c r="M20" s="6" t="b">
        <f>IF(Benchmark[[#This Row],[extract start]]="",FALSE,TRUE)</f>
        <v>0</v>
      </c>
      <c r="N20" t="s">
        <v>15</v>
      </c>
      <c r="O20">
        <f>VLOOKUP(Benchmark[[#This Row],[feature_type]],Variables[#All],2)</f>
        <v>30</v>
      </c>
    </row>
    <row r="21" spans="1:15" x14ac:dyDescent="0.45">
      <c r="A21">
        <v>11000</v>
      </c>
      <c r="B21" s="3" t="str">
        <f>IF(ISNA(VLOOKUP($A21,benchmark_1[#All],COLUMN(),FALSE)),"",VLOOKUP($A21,benchmark_1[#All],COLUMN(),FALSE))</f>
        <v/>
      </c>
      <c r="C21" s="3" t="str">
        <f>IF(ISNA(VLOOKUP($A21,benchmark_1[#All],COLUMN(),FALSE)),"",VLOOKUP($A21,benchmark_1[#All],COLUMN(),FALSE))</f>
        <v/>
      </c>
      <c r="D21" s="3" t="str">
        <f>IF(ISNA(VLOOKUP($A21,benchmark_1[#All],COLUMN(),FALSE)),"",VLOOKUP($A21,benchmark_1[#All],COLUMN(),FALSE))</f>
        <v/>
      </c>
      <c r="E21" s="3" t="str">
        <f>IF(ISNA(VLOOKUP($A21,benchmark_1[#All],COLUMN(),FALSE)),"",VLOOKUP($A21,benchmark_1[#All],COLUMN(),FALSE))</f>
        <v/>
      </c>
      <c r="F21" s="3" t="str">
        <f>IF(ISNA(VLOOKUP($A21,benchmark_1[#All],COLUMN(),FALSE)),"",VLOOKUP($A21,benchmark_1[#All],COLUMN(),FALSE))</f>
        <v/>
      </c>
      <c r="G21" s="3" t="str">
        <f>IF(ISNA(VLOOKUP($A21,benchmark_1[#All],COLUMN(),FALSE)),"",VLOOKUP($A21,benchmark_1[#All],COLUMN(),FALSE))</f>
        <v/>
      </c>
      <c r="H21" s="8" t="str">
        <f>IF(ISNA(_xlfn.NUMBERVALUE(VLOOKUP($A21,benchmark_1[#All],COLUMN(),FALSE),".")),"",ROUNDDOWN(_xlfn.NUMBERVALUE(VLOOKUP($A21,benchmark_1[#All],COLUMN(),FALSE),"."),2))</f>
        <v/>
      </c>
      <c r="I21" s="5" t="str">
        <f>IF(Benchmark[[#This Row],[extract start]]="","",ROUNDUP(A21/Benchmark[[#This Row],[nb_feature]],0))</f>
        <v/>
      </c>
      <c r="J21" s="6" t="str">
        <f>IF(Benchmark[[#This Row],[extract start]]="","",ROUNDUP((C21-B21)*60*24,0))</f>
        <v/>
      </c>
      <c r="K21" s="6" t="str">
        <f>IF(Benchmark[[#This Row],[extract start]]="","",ROUNDUP((E21-D21)*60*24,0))</f>
        <v/>
      </c>
      <c r="L21" s="6" t="str">
        <f>IF(Benchmark[[#This Row],[extract start]]="","",ROUNDUP((G21-F21)*60*24,0))</f>
        <v/>
      </c>
      <c r="M21" s="6" t="b">
        <f>IF(Benchmark[[#This Row],[extract start]]="",FALSE,TRUE)</f>
        <v>0</v>
      </c>
      <c r="N21" t="s">
        <v>15</v>
      </c>
      <c r="O21">
        <f>VLOOKUP(Benchmark[[#This Row],[feature_type]],Variables[#All],2)</f>
        <v>30</v>
      </c>
    </row>
    <row r="22" spans="1:15" x14ac:dyDescent="0.45">
      <c r="A22">
        <v>12000</v>
      </c>
      <c r="B22" s="3" t="str">
        <f>IF(ISNA(VLOOKUP($A22,benchmark_1[#All],COLUMN(),FALSE)),"",VLOOKUP($A22,benchmark_1[#All],COLUMN(),FALSE))</f>
        <v/>
      </c>
      <c r="C22" s="3" t="str">
        <f>IF(ISNA(VLOOKUP($A22,benchmark_1[#All],COLUMN(),FALSE)),"",VLOOKUP($A22,benchmark_1[#All],COLUMN(),FALSE))</f>
        <v/>
      </c>
      <c r="D22" s="3" t="str">
        <f>IF(ISNA(VLOOKUP($A22,benchmark_1[#All],COLUMN(),FALSE)),"",VLOOKUP($A22,benchmark_1[#All],COLUMN(),FALSE))</f>
        <v/>
      </c>
      <c r="E22" s="3" t="str">
        <f>IF(ISNA(VLOOKUP($A22,benchmark_1[#All],COLUMN(),FALSE)),"",VLOOKUP($A22,benchmark_1[#All],COLUMN(),FALSE))</f>
        <v/>
      </c>
      <c r="F22" s="3" t="str">
        <f>IF(ISNA(VLOOKUP($A22,benchmark_1[#All],COLUMN(),FALSE)),"",VLOOKUP($A22,benchmark_1[#All],COLUMN(),FALSE))</f>
        <v/>
      </c>
      <c r="G22" s="3" t="str">
        <f>IF(ISNA(VLOOKUP($A22,benchmark_1[#All],COLUMN(),FALSE)),"",VLOOKUP($A22,benchmark_1[#All],COLUMN(),FALSE))</f>
        <v/>
      </c>
      <c r="H22" s="8" t="str">
        <f>IF(ISNA(_xlfn.NUMBERVALUE(VLOOKUP($A22,benchmark_1[#All],COLUMN(),FALSE),".")),"",ROUNDDOWN(_xlfn.NUMBERVALUE(VLOOKUP($A22,benchmark_1[#All],COLUMN(),FALSE),"."),2))</f>
        <v/>
      </c>
      <c r="I22" s="5" t="str">
        <f>IF(Benchmark[[#This Row],[extract start]]="","",ROUNDUP(A22/Benchmark[[#This Row],[nb_feature]],0))</f>
        <v/>
      </c>
      <c r="J22" s="6" t="str">
        <f>IF(Benchmark[[#This Row],[extract start]]="","",ROUNDUP((C22-B22)*60*24,0))</f>
        <v/>
      </c>
      <c r="K22" s="6" t="str">
        <f>IF(Benchmark[[#This Row],[extract start]]="","",ROUNDUP((E22-D22)*60*24,0))</f>
        <v/>
      </c>
      <c r="L22" s="6" t="str">
        <f>IF(Benchmark[[#This Row],[extract start]]="","",ROUNDUP((G22-F22)*60*24,0))</f>
        <v/>
      </c>
      <c r="M22" s="6" t="b">
        <f>IF(Benchmark[[#This Row],[extract start]]="",FALSE,TRUE)</f>
        <v>0</v>
      </c>
      <c r="N22" t="s">
        <v>15</v>
      </c>
      <c r="O22">
        <f>VLOOKUP(Benchmark[[#This Row],[feature_type]],Variables[#All],2)</f>
        <v>30</v>
      </c>
    </row>
    <row r="23" spans="1:15" x14ac:dyDescent="0.45">
      <c r="A23">
        <v>13000</v>
      </c>
      <c r="B23" s="3" t="str">
        <f>IF(ISNA(VLOOKUP($A23,benchmark_1[#All],COLUMN(),FALSE)),"",VLOOKUP($A23,benchmark_1[#All],COLUMN(),FALSE))</f>
        <v/>
      </c>
      <c r="C23" s="3" t="str">
        <f>IF(ISNA(VLOOKUP($A23,benchmark_1[#All],COLUMN(),FALSE)),"",VLOOKUP($A23,benchmark_1[#All],COLUMN(),FALSE))</f>
        <v/>
      </c>
      <c r="D23" s="3" t="str">
        <f>IF(ISNA(VLOOKUP($A23,benchmark_1[#All],COLUMN(),FALSE)),"",VLOOKUP($A23,benchmark_1[#All],COLUMN(),FALSE))</f>
        <v/>
      </c>
      <c r="E23" s="3" t="str">
        <f>IF(ISNA(VLOOKUP($A23,benchmark_1[#All],COLUMN(),FALSE)),"",VLOOKUP($A23,benchmark_1[#All],COLUMN(),FALSE))</f>
        <v/>
      </c>
      <c r="F23" s="3" t="str">
        <f>IF(ISNA(VLOOKUP($A23,benchmark_1[#All],COLUMN(),FALSE)),"",VLOOKUP($A23,benchmark_1[#All],COLUMN(),FALSE))</f>
        <v/>
      </c>
      <c r="G23" s="3" t="str">
        <f>IF(ISNA(VLOOKUP($A23,benchmark_1[#All],COLUMN(),FALSE)),"",VLOOKUP($A23,benchmark_1[#All],COLUMN(),FALSE))</f>
        <v/>
      </c>
      <c r="H23" s="8" t="str">
        <f>IF(ISNA(_xlfn.NUMBERVALUE(VLOOKUP($A23,benchmark_1[#All],COLUMN(),FALSE),".")),"",ROUNDDOWN(_xlfn.NUMBERVALUE(VLOOKUP($A23,benchmark_1[#All],COLUMN(),FALSE),"."),2))</f>
        <v/>
      </c>
      <c r="I23" s="5" t="str">
        <f>IF(Benchmark[[#This Row],[extract start]]="","",ROUNDUP(A23/Benchmark[[#This Row],[nb_feature]],0))</f>
        <v/>
      </c>
      <c r="J23" s="6" t="str">
        <f>IF(Benchmark[[#This Row],[extract start]]="","",ROUNDUP((C23-B23)*60*24,0))</f>
        <v/>
      </c>
      <c r="K23" s="6" t="str">
        <f>IF(Benchmark[[#This Row],[extract start]]="","",ROUNDUP((E23-D23)*60*24,0))</f>
        <v/>
      </c>
      <c r="L23" s="6" t="str">
        <f>IF(Benchmark[[#This Row],[extract start]]="","",ROUNDUP((G23-F23)*60*24,0))</f>
        <v/>
      </c>
      <c r="M23" s="6" t="b">
        <f>IF(Benchmark[[#This Row],[extract start]]="",FALSE,TRUE)</f>
        <v>0</v>
      </c>
      <c r="N23" t="s">
        <v>15</v>
      </c>
      <c r="O23">
        <f>VLOOKUP(Benchmark[[#This Row],[feature_type]],Variables[#All],2)</f>
        <v>30</v>
      </c>
    </row>
    <row r="24" spans="1:15" x14ac:dyDescent="0.45">
      <c r="A24">
        <v>14000</v>
      </c>
      <c r="B24" s="3" t="str">
        <f>IF(ISNA(VLOOKUP($A24,benchmark_1[#All],COLUMN(),FALSE)),"",VLOOKUP($A24,benchmark_1[#All],COLUMN(),FALSE))</f>
        <v/>
      </c>
      <c r="C24" s="3" t="str">
        <f>IF(ISNA(VLOOKUP($A24,benchmark_1[#All],COLUMN(),FALSE)),"",VLOOKUP($A24,benchmark_1[#All],COLUMN(),FALSE))</f>
        <v/>
      </c>
      <c r="D24" s="3" t="str">
        <f>IF(ISNA(VLOOKUP($A24,benchmark_1[#All],COLUMN(),FALSE)),"",VLOOKUP($A24,benchmark_1[#All],COLUMN(),FALSE))</f>
        <v/>
      </c>
      <c r="E24" s="3" t="str">
        <f>IF(ISNA(VLOOKUP($A24,benchmark_1[#All],COLUMN(),FALSE)),"",VLOOKUP($A24,benchmark_1[#All],COLUMN(),FALSE))</f>
        <v/>
      </c>
      <c r="F24" s="3" t="str">
        <f>IF(ISNA(VLOOKUP($A24,benchmark_1[#All],COLUMN(),FALSE)),"",VLOOKUP($A24,benchmark_1[#All],COLUMN(),FALSE))</f>
        <v/>
      </c>
      <c r="G24" s="3" t="str">
        <f>IF(ISNA(VLOOKUP($A24,benchmark_1[#All],COLUMN(),FALSE)),"",VLOOKUP($A24,benchmark_1[#All],COLUMN(),FALSE))</f>
        <v/>
      </c>
      <c r="H24" s="8" t="str">
        <f>IF(ISNA(_xlfn.NUMBERVALUE(VLOOKUP($A24,benchmark_1[#All],COLUMN(),FALSE),".")),"",ROUNDDOWN(_xlfn.NUMBERVALUE(VLOOKUP($A24,benchmark_1[#All],COLUMN(),FALSE),"."),2))</f>
        <v/>
      </c>
      <c r="I24" s="5" t="str">
        <f>IF(Benchmark[[#This Row],[extract start]]="","",ROUNDUP(A24/Benchmark[[#This Row],[nb_feature]],0))</f>
        <v/>
      </c>
      <c r="J24" s="6" t="str">
        <f>IF(Benchmark[[#This Row],[extract start]]="","",ROUNDUP((C24-B24)*60*24,0))</f>
        <v/>
      </c>
      <c r="K24" s="6" t="str">
        <f>IF(Benchmark[[#This Row],[extract start]]="","",ROUNDUP((E24-D24)*60*24,0))</f>
        <v/>
      </c>
      <c r="L24" s="6" t="str">
        <f>IF(Benchmark[[#This Row],[extract start]]="","",ROUNDUP((G24-F24)*60*24,0))</f>
        <v/>
      </c>
      <c r="M24" s="6" t="b">
        <f>IF(Benchmark[[#This Row],[extract start]]="",FALSE,TRUE)</f>
        <v>0</v>
      </c>
      <c r="N24" t="s">
        <v>15</v>
      </c>
      <c r="O24">
        <f>VLOOKUP(Benchmark[[#This Row],[feature_type]],Variables[#All],2)</f>
        <v>30</v>
      </c>
    </row>
    <row r="25" spans="1:15" x14ac:dyDescent="0.45">
      <c r="A25">
        <v>15000</v>
      </c>
      <c r="B25" s="3" t="str">
        <f>IF(ISNA(VLOOKUP($A25,benchmark_1[#All],COLUMN(),FALSE)),"",VLOOKUP($A25,benchmark_1[#All],COLUMN(),FALSE))</f>
        <v/>
      </c>
      <c r="C25" s="3" t="str">
        <f>IF(ISNA(VLOOKUP($A25,benchmark_1[#All],COLUMN(),FALSE)),"",VLOOKUP($A25,benchmark_1[#All],COLUMN(),FALSE))</f>
        <v/>
      </c>
      <c r="D25" s="3" t="str">
        <f>IF(ISNA(VLOOKUP($A25,benchmark_1[#All],COLUMN(),FALSE)),"",VLOOKUP($A25,benchmark_1[#All],COLUMN(),FALSE))</f>
        <v/>
      </c>
      <c r="E25" s="3" t="str">
        <f>IF(ISNA(VLOOKUP($A25,benchmark_1[#All],COLUMN(),FALSE)),"",VLOOKUP($A25,benchmark_1[#All],COLUMN(),FALSE))</f>
        <v/>
      </c>
      <c r="F25" s="3" t="str">
        <f>IF(ISNA(VLOOKUP($A25,benchmark_1[#All],COLUMN(),FALSE)),"",VLOOKUP($A25,benchmark_1[#All],COLUMN(),FALSE))</f>
        <v/>
      </c>
      <c r="G25" s="3" t="str">
        <f>IF(ISNA(VLOOKUP($A25,benchmark_1[#All],COLUMN(),FALSE)),"",VLOOKUP($A25,benchmark_1[#All],COLUMN(),FALSE))</f>
        <v/>
      </c>
      <c r="H25" s="8" t="str">
        <f>IF(ISNA(_xlfn.NUMBERVALUE(VLOOKUP($A25,benchmark_1[#All],COLUMN(),FALSE),".")),"",ROUNDDOWN(_xlfn.NUMBERVALUE(VLOOKUP($A25,benchmark_1[#All],COLUMN(),FALSE),"."),2))</f>
        <v/>
      </c>
      <c r="I25" s="5" t="str">
        <f>IF(Benchmark[[#This Row],[extract start]]="","",ROUNDUP(A25/Benchmark[[#This Row],[nb_feature]],0))</f>
        <v/>
      </c>
      <c r="J25" s="6" t="str">
        <f>IF(Benchmark[[#This Row],[extract start]]="","",ROUNDUP((C25-B25)*60*24,0))</f>
        <v/>
      </c>
      <c r="K25" s="6" t="str">
        <f>IF(Benchmark[[#This Row],[extract start]]="","",ROUNDUP((E25-D25)*60*24,0))</f>
        <v/>
      </c>
      <c r="L25" s="6" t="str">
        <f>IF(Benchmark[[#This Row],[extract start]]="","",ROUNDUP((G25-F25)*60*24,0))</f>
        <v/>
      </c>
      <c r="M25" s="6" t="b">
        <f>IF(Benchmark[[#This Row],[extract start]]="",FALSE,TRUE)</f>
        <v>0</v>
      </c>
      <c r="N25" t="s">
        <v>15</v>
      </c>
      <c r="O25">
        <f>VLOOKUP(Benchmark[[#This Row],[feature_type]],Variables[#All],2)</f>
        <v>30</v>
      </c>
    </row>
    <row r="26" spans="1:15" x14ac:dyDescent="0.45">
      <c r="A26">
        <v>16000</v>
      </c>
      <c r="B26" s="3" t="str">
        <f>IF(ISNA(VLOOKUP($A26,benchmark_1[#All],COLUMN(),FALSE)),"",VLOOKUP($A26,benchmark_1[#All],COLUMN(),FALSE))</f>
        <v/>
      </c>
      <c r="C26" s="3" t="str">
        <f>IF(ISNA(VLOOKUP($A26,benchmark_1[#All],COLUMN(),FALSE)),"",VLOOKUP($A26,benchmark_1[#All],COLUMN(),FALSE))</f>
        <v/>
      </c>
      <c r="D26" s="3" t="str">
        <f>IF(ISNA(VLOOKUP($A26,benchmark_1[#All],COLUMN(),FALSE)),"",VLOOKUP($A26,benchmark_1[#All],COLUMN(),FALSE))</f>
        <v/>
      </c>
      <c r="E26" s="3" t="str">
        <f>IF(ISNA(VLOOKUP($A26,benchmark_1[#All],COLUMN(),FALSE)),"",VLOOKUP($A26,benchmark_1[#All],COLUMN(),FALSE))</f>
        <v/>
      </c>
      <c r="F26" s="3" t="str">
        <f>IF(ISNA(VLOOKUP($A26,benchmark_1[#All],COLUMN(),FALSE)),"",VLOOKUP($A26,benchmark_1[#All],COLUMN(),FALSE))</f>
        <v/>
      </c>
      <c r="G26" s="3" t="str">
        <f>IF(ISNA(VLOOKUP($A26,benchmark_1[#All],COLUMN(),FALSE)),"",VLOOKUP($A26,benchmark_1[#All],COLUMN(),FALSE))</f>
        <v/>
      </c>
      <c r="H26" s="8" t="str">
        <f>IF(ISNA(_xlfn.NUMBERVALUE(VLOOKUP($A26,benchmark_1[#All],COLUMN(),FALSE),".")),"",ROUNDDOWN(_xlfn.NUMBERVALUE(VLOOKUP($A26,benchmark_1[#All],COLUMN(),FALSE),"."),2))</f>
        <v/>
      </c>
      <c r="I26" s="5" t="str">
        <f>IF(Benchmark[[#This Row],[extract start]]="","",ROUNDUP(A26/Benchmark[[#This Row],[nb_feature]],0))</f>
        <v/>
      </c>
      <c r="J26" s="6" t="str">
        <f>IF(Benchmark[[#This Row],[extract start]]="","",ROUNDUP((C26-B26)*60*24,0))</f>
        <v/>
      </c>
      <c r="K26" s="6" t="str">
        <f>IF(Benchmark[[#This Row],[extract start]]="","",ROUNDUP((E26-D26)*60*24,0))</f>
        <v/>
      </c>
      <c r="L26" s="6" t="str">
        <f>IF(Benchmark[[#This Row],[extract start]]="","",ROUNDUP((G26-F26)*60*24,0))</f>
        <v/>
      </c>
      <c r="M26" s="6" t="b">
        <f>IF(Benchmark[[#This Row],[extract start]]="",FALSE,TRUE)</f>
        <v>0</v>
      </c>
      <c r="N26" t="s">
        <v>15</v>
      </c>
      <c r="O26">
        <f>VLOOKUP(Benchmark[[#This Row],[feature_type]],Variables[#All],2)</f>
        <v>30</v>
      </c>
    </row>
    <row r="27" spans="1:15" x14ac:dyDescent="0.45">
      <c r="A27">
        <v>17000</v>
      </c>
      <c r="B27" s="3" t="str">
        <f>IF(ISNA(VLOOKUP($A27,benchmark_1[#All],COLUMN(),FALSE)),"",VLOOKUP($A27,benchmark_1[#All],COLUMN(),FALSE))</f>
        <v/>
      </c>
      <c r="C27" s="3" t="str">
        <f>IF(ISNA(VLOOKUP($A27,benchmark_1[#All],COLUMN(),FALSE)),"",VLOOKUP($A27,benchmark_1[#All],COLUMN(),FALSE))</f>
        <v/>
      </c>
      <c r="D27" s="3" t="str">
        <f>IF(ISNA(VLOOKUP($A27,benchmark_1[#All],COLUMN(),FALSE)),"",VLOOKUP($A27,benchmark_1[#All],COLUMN(),FALSE))</f>
        <v/>
      </c>
      <c r="E27" s="3" t="str">
        <f>IF(ISNA(VLOOKUP($A27,benchmark_1[#All],COLUMN(),FALSE)),"",VLOOKUP($A27,benchmark_1[#All],COLUMN(),FALSE))</f>
        <v/>
      </c>
      <c r="F27" s="3" t="str">
        <f>IF(ISNA(VLOOKUP($A27,benchmark_1[#All],COLUMN(),FALSE)),"",VLOOKUP($A27,benchmark_1[#All],COLUMN(),FALSE))</f>
        <v/>
      </c>
      <c r="G27" s="3" t="str">
        <f>IF(ISNA(VLOOKUP($A27,benchmark_1[#All],COLUMN(),FALSE)),"",VLOOKUP($A27,benchmark_1[#All],COLUMN(),FALSE))</f>
        <v/>
      </c>
      <c r="H27" s="8" t="str">
        <f>IF(ISNA(_xlfn.NUMBERVALUE(VLOOKUP($A27,benchmark_1[#All],COLUMN(),FALSE),".")),"",ROUNDDOWN(_xlfn.NUMBERVALUE(VLOOKUP($A27,benchmark_1[#All],COLUMN(),FALSE),"."),2))</f>
        <v/>
      </c>
      <c r="I27" s="5" t="str">
        <f>IF(Benchmark[[#This Row],[extract start]]="","",ROUNDUP(A27/Benchmark[[#This Row],[nb_feature]],0))</f>
        <v/>
      </c>
      <c r="J27" s="6" t="str">
        <f>IF(Benchmark[[#This Row],[extract start]]="","",ROUNDUP((C27-B27)*60*24,0))</f>
        <v/>
      </c>
      <c r="K27" s="6" t="str">
        <f>IF(Benchmark[[#This Row],[extract start]]="","",ROUNDUP((E27-D27)*60*24,0))</f>
        <v/>
      </c>
      <c r="L27" s="6" t="str">
        <f>IF(Benchmark[[#This Row],[extract start]]="","",ROUNDUP((G27-F27)*60*24,0))</f>
        <v/>
      </c>
      <c r="M27" s="6" t="b">
        <f>IF(Benchmark[[#This Row],[extract start]]="",FALSE,TRUE)</f>
        <v>0</v>
      </c>
      <c r="N27" t="s">
        <v>15</v>
      </c>
      <c r="O27">
        <f>VLOOKUP(Benchmark[[#This Row],[feature_type]],Variables[#All],2)</f>
        <v>30</v>
      </c>
    </row>
    <row r="28" spans="1:15" x14ac:dyDescent="0.45">
      <c r="A28">
        <v>18000</v>
      </c>
      <c r="B28" s="3" t="str">
        <f>IF(ISNA(VLOOKUP($A28,benchmark_1[#All],COLUMN(),FALSE)),"",VLOOKUP($A28,benchmark_1[#All],COLUMN(),FALSE))</f>
        <v/>
      </c>
      <c r="C28" s="3" t="str">
        <f>IF(ISNA(VLOOKUP($A28,benchmark_1[#All],COLUMN(),FALSE)),"",VLOOKUP($A28,benchmark_1[#All],COLUMN(),FALSE))</f>
        <v/>
      </c>
      <c r="D28" s="3" t="str">
        <f>IF(ISNA(VLOOKUP($A28,benchmark_1[#All],COLUMN(),FALSE)),"",VLOOKUP($A28,benchmark_1[#All],COLUMN(),FALSE))</f>
        <v/>
      </c>
      <c r="E28" s="3" t="str">
        <f>IF(ISNA(VLOOKUP($A28,benchmark_1[#All],COLUMN(),FALSE)),"",VLOOKUP($A28,benchmark_1[#All],COLUMN(),FALSE))</f>
        <v/>
      </c>
      <c r="F28" s="3" t="str">
        <f>IF(ISNA(VLOOKUP($A28,benchmark_1[#All],COLUMN(),FALSE)),"",VLOOKUP($A28,benchmark_1[#All],COLUMN(),FALSE))</f>
        <v/>
      </c>
      <c r="G28" s="3" t="str">
        <f>IF(ISNA(VLOOKUP($A28,benchmark_1[#All],COLUMN(),FALSE)),"",VLOOKUP($A28,benchmark_1[#All],COLUMN(),FALSE))</f>
        <v/>
      </c>
      <c r="H28" s="8" t="str">
        <f>IF(ISNA(_xlfn.NUMBERVALUE(VLOOKUP($A28,benchmark_1[#All],COLUMN(),FALSE),".")),"",ROUNDDOWN(_xlfn.NUMBERVALUE(VLOOKUP($A28,benchmark_1[#All],COLUMN(),FALSE),"."),2))</f>
        <v/>
      </c>
      <c r="I28" s="5" t="str">
        <f>IF(Benchmark[[#This Row],[extract start]]="","",ROUNDUP(A28/Benchmark[[#This Row],[nb_feature]],0))</f>
        <v/>
      </c>
      <c r="J28" s="6" t="str">
        <f>IF(Benchmark[[#This Row],[extract start]]="","",ROUNDUP((C28-B28)*60*24,0))</f>
        <v/>
      </c>
      <c r="K28" s="6" t="str">
        <f>IF(Benchmark[[#This Row],[extract start]]="","",ROUNDUP((E28-D28)*60*24,0))</f>
        <v/>
      </c>
      <c r="L28" s="6" t="str">
        <f>IF(Benchmark[[#This Row],[extract start]]="","",ROUNDUP((G28-F28)*60*24,0))</f>
        <v/>
      </c>
      <c r="M28" s="6" t="b">
        <f>IF(Benchmark[[#This Row],[extract start]]="",FALSE,TRUE)</f>
        <v>0</v>
      </c>
      <c r="N28" t="s">
        <v>15</v>
      </c>
      <c r="O28">
        <f>VLOOKUP(Benchmark[[#This Row],[feature_type]],Variables[#All],2)</f>
        <v>30</v>
      </c>
    </row>
    <row r="29" spans="1:15" x14ac:dyDescent="0.45">
      <c r="A29">
        <v>19000</v>
      </c>
      <c r="B29" s="3" t="str">
        <f>IF(ISNA(VLOOKUP($A29,benchmark_1[#All],COLUMN(),FALSE)),"",VLOOKUP($A29,benchmark_1[#All],COLUMN(),FALSE))</f>
        <v/>
      </c>
      <c r="C29" s="3" t="str">
        <f>IF(ISNA(VLOOKUP($A29,benchmark_1[#All],COLUMN(),FALSE)),"",VLOOKUP($A29,benchmark_1[#All],COLUMN(),FALSE))</f>
        <v/>
      </c>
      <c r="D29" s="3" t="str">
        <f>IF(ISNA(VLOOKUP($A29,benchmark_1[#All],COLUMN(),FALSE)),"",VLOOKUP($A29,benchmark_1[#All],COLUMN(),FALSE))</f>
        <v/>
      </c>
      <c r="E29" s="3" t="str">
        <f>IF(ISNA(VLOOKUP($A29,benchmark_1[#All],COLUMN(),FALSE)),"",VLOOKUP($A29,benchmark_1[#All],COLUMN(),FALSE))</f>
        <v/>
      </c>
      <c r="F29" s="3" t="str">
        <f>IF(ISNA(VLOOKUP($A29,benchmark_1[#All],COLUMN(),FALSE)),"",VLOOKUP($A29,benchmark_1[#All],COLUMN(),FALSE))</f>
        <v/>
      </c>
      <c r="G29" s="3" t="str">
        <f>IF(ISNA(VLOOKUP($A29,benchmark_1[#All],COLUMN(),FALSE)),"",VLOOKUP($A29,benchmark_1[#All],COLUMN(),FALSE))</f>
        <v/>
      </c>
      <c r="H29" s="8" t="str">
        <f>IF(ISNA(_xlfn.NUMBERVALUE(VLOOKUP($A29,benchmark_1[#All],COLUMN(),FALSE),".")),"",ROUNDDOWN(_xlfn.NUMBERVALUE(VLOOKUP($A29,benchmark_1[#All],COLUMN(),FALSE),"."),2))</f>
        <v/>
      </c>
      <c r="I29" s="5" t="str">
        <f>IF(Benchmark[[#This Row],[extract start]]="","",ROUNDUP(A29/Benchmark[[#This Row],[nb_feature]],0))</f>
        <v/>
      </c>
      <c r="J29" s="6" t="str">
        <f>IF(Benchmark[[#This Row],[extract start]]="","",ROUNDUP((C29-B29)*60*24,0))</f>
        <v/>
      </c>
      <c r="K29" s="6" t="str">
        <f>IF(Benchmark[[#This Row],[extract start]]="","",ROUNDUP((E29-D29)*60*24,0))</f>
        <v/>
      </c>
      <c r="L29" s="6" t="str">
        <f>IF(Benchmark[[#This Row],[extract start]]="","",ROUNDUP((G29-F29)*60*24,0))</f>
        <v/>
      </c>
      <c r="M29" s="6" t="b">
        <f>IF(Benchmark[[#This Row],[extract start]]="",FALSE,TRUE)</f>
        <v>0</v>
      </c>
      <c r="N29" t="s">
        <v>15</v>
      </c>
      <c r="O29">
        <f>VLOOKUP(Benchmark[[#This Row],[feature_type]],Variables[#All],2)</f>
        <v>30</v>
      </c>
    </row>
    <row r="30" spans="1:15" x14ac:dyDescent="0.45">
      <c r="A30">
        <v>20000</v>
      </c>
      <c r="B30" s="3" t="str">
        <f>IF(ISNA(VLOOKUP($A30,benchmark_1[#All],COLUMN(),FALSE)),"",VLOOKUP($A30,benchmark_1[#All],COLUMN(),FALSE))</f>
        <v/>
      </c>
      <c r="C30" s="3" t="str">
        <f>IF(ISNA(VLOOKUP($A30,benchmark_1[#All],COLUMN(),FALSE)),"",VLOOKUP($A30,benchmark_1[#All],COLUMN(),FALSE))</f>
        <v/>
      </c>
      <c r="D30" s="3" t="str">
        <f>IF(ISNA(VLOOKUP($A30,benchmark_1[#All],COLUMN(),FALSE)),"",VLOOKUP($A30,benchmark_1[#All],COLUMN(),FALSE))</f>
        <v/>
      </c>
      <c r="E30" s="3" t="str">
        <f>IF(ISNA(VLOOKUP($A30,benchmark_1[#All],COLUMN(),FALSE)),"",VLOOKUP($A30,benchmark_1[#All],COLUMN(),FALSE))</f>
        <v/>
      </c>
      <c r="F30" s="3" t="str">
        <f>IF(ISNA(VLOOKUP($A30,benchmark_1[#All],COLUMN(),FALSE)),"",VLOOKUP($A30,benchmark_1[#All],COLUMN(),FALSE))</f>
        <v/>
      </c>
      <c r="G30" s="3" t="str">
        <f>IF(ISNA(VLOOKUP($A30,benchmark_1[#All],COLUMN(),FALSE)),"",VLOOKUP($A30,benchmark_1[#All],COLUMN(),FALSE))</f>
        <v/>
      </c>
      <c r="H30" s="8" t="str">
        <f>IF(ISNA(_xlfn.NUMBERVALUE(VLOOKUP($A30,benchmark_1[#All],COLUMN(),FALSE),".")),"",ROUNDDOWN(_xlfn.NUMBERVALUE(VLOOKUP($A30,benchmark_1[#All],COLUMN(),FALSE),"."),2))</f>
        <v/>
      </c>
      <c r="I30" s="5" t="str">
        <f>IF(Benchmark[[#This Row],[extract start]]="","",ROUNDUP(A30/Benchmark[[#This Row],[nb_feature]],0))</f>
        <v/>
      </c>
      <c r="J30" s="6" t="str">
        <f>IF(Benchmark[[#This Row],[extract start]]="","",ROUNDUP((C30-B30)*60*24,0))</f>
        <v/>
      </c>
      <c r="K30" s="6" t="str">
        <f>IF(Benchmark[[#This Row],[extract start]]="","",ROUNDUP((E30-D30)*60*24,0))</f>
        <v/>
      </c>
      <c r="L30" s="6" t="str">
        <f>IF(Benchmark[[#This Row],[extract start]]="","",ROUNDUP((G30-F30)*60*24,0))</f>
        <v/>
      </c>
      <c r="M30" s="6" t="b">
        <f>IF(Benchmark[[#This Row],[extract start]]="",FALSE,TRUE)</f>
        <v>0</v>
      </c>
      <c r="N30" t="s">
        <v>15</v>
      </c>
      <c r="O30">
        <f>VLOOKUP(Benchmark[[#This Row],[feature_type]],Variables[#All],2)</f>
        <v>30</v>
      </c>
    </row>
    <row r="31" spans="1:15" x14ac:dyDescent="0.45">
      <c r="A31">
        <v>21000</v>
      </c>
      <c r="B31" s="3" t="str">
        <f>IF(ISNA(VLOOKUP($A31,benchmark_1[#All],COLUMN(),FALSE)),"",VLOOKUP($A31,benchmark_1[#All],COLUMN(),FALSE))</f>
        <v/>
      </c>
      <c r="C31" s="3" t="str">
        <f>IF(ISNA(VLOOKUP($A31,benchmark_1[#All],COLUMN(),FALSE)),"",VLOOKUP($A31,benchmark_1[#All],COLUMN(),FALSE))</f>
        <v/>
      </c>
      <c r="D31" s="3" t="str">
        <f>IF(ISNA(VLOOKUP($A31,benchmark_1[#All],COLUMN(),FALSE)),"",VLOOKUP($A31,benchmark_1[#All],COLUMN(),FALSE))</f>
        <v/>
      </c>
      <c r="E31" s="3" t="str">
        <f>IF(ISNA(VLOOKUP($A31,benchmark_1[#All],COLUMN(),FALSE)),"",VLOOKUP($A31,benchmark_1[#All],COLUMN(),FALSE))</f>
        <v/>
      </c>
      <c r="F31" s="3" t="str">
        <f>IF(ISNA(VLOOKUP($A31,benchmark_1[#All],COLUMN(),FALSE)),"",VLOOKUP($A31,benchmark_1[#All],COLUMN(),FALSE))</f>
        <v/>
      </c>
      <c r="G31" s="3" t="str">
        <f>IF(ISNA(VLOOKUP($A31,benchmark_1[#All],COLUMN(),FALSE)),"",VLOOKUP($A31,benchmark_1[#All],COLUMN(),FALSE))</f>
        <v/>
      </c>
      <c r="H31" s="8" t="str">
        <f>IF(ISNA(_xlfn.NUMBERVALUE(VLOOKUP($A31,benchmark_1[#All],COLUMN(),FALSE),".")),"",ROUNDDOWN(_xlfn.NUMBERVALUE(VLOOKUP($A31,benchmark_1[#All],COLUMN(),FALSE),"."),2))</f>
        <v/>
      </c>
      <c r="I31" s="5" t="str">
        <f>IF(Benchmark[[#This Row],[extract start]]="","",ROUNDUP(A31/Benchmark[[#This Row],[nb_feature]],0))</f>
        <v/>
      </c>
      <c r="J31" s="6" t="str">
        <f>IF(Benchmark[[#This Row],[extract start]]="","",ROUNDUP((C31-B31)*60*24,0))</f>
        <v/>
      </c>
      <c r="K31" s="6" t="str">
        <f>IF(Benchmark[[#This Row],[extract start]]="","",ROUNDUP((E31-D31)*60*24,0))</f>
        <v/>
      </c>
      <c r="L31" s="6" t="str">
        <f>IF(Benchmark[[#This Row],[extract start]]="","",ROUNDUP((G31-F31)*60*24,0))</f>
        <v/>
      </c>
      <c r="M31" s="6" t="b">
        <f>IF(Benchmark[[#This Row],[extract start]]="",FALSE,TRUE)</f>
        <v>0</v>
      </c>
      <c r="N31" t="s">
        <v>15</v>
      </c>
      <c r="O31">
        <f>VLOOKUP(Benchmark[[#This Row],[feature_type]],Variables[#All],2)</f>
        <v>30</v>
      </c>
    </row>
    <row r="32" spans="1:15" x14ac:dyDescent="0.45">
      <c r="A32">
        <v>22000</v>
      </c>
      <c r="B32" s="3" t="str">
        <f>IF(ISNA(VLOOKUP($A32,benchmark_1[#All],COLUMN(),FALSE)),"",VLOOKUP($A32,benchmark_1[#All],COLUMN(),FALSE))</f>
        <v/>
      </c>
      <c r="C32" s="3" t="str">
        <f>IF(ISNA(VLOOKUP($A32,benchmark_1[#All],COLUMN(),FALSE)),"",VLOOKUP($A32,benchmark_1[#All],COLUMN(),FALSE))</f>
        <v/>
      </c>
      <c r="D32" s="3" t="str">
        <f>IF(ISNA(VLOOKUP($A32,benchmark_1[#All],COLUMN(),FALSE)),"",VLOOKUP($A32,benchmark_1[#All],COLUMN(),FALSE))</f>
        <v/>
      </c>
      <c r="E32" s="3" t="str">
        <f>IF(ISNA(VLOOKUP($A32,benchmark_1[#All],COLUMN(),FALSE)),"",VLOOKUP($A32,benchmark_1[#All],COLUMN(),FALSE))</f>
        <v/>
      </c>
      <c r="F32" s="3" t="str">
        <f>IF(ISNA(VLOOKUP($A32,benchmark_1[#All],COLUMN(),FALSE)),"",VLOOKUP($A32,benchmark_1[#All],COLUMN(),FALSE))</f>
        <v/>
      </c>
      <c r="G32" s="3" t="str">
        <f>IF(ISNA(VLOOKUP($A32,benchmark_1[#All],COLUMN(),FALSE)),"",VLOOKUP($A32,benchmark_1[#All],COLUMN(),FALSE))</f>
        <v/>
      </c>
      <c r="H32" s="8" t="str">
        <f>IF(ISNA(_xlfn.NUMBERVALUE(VLOOKUP($A32,benchmark_1[#All],COLUMN(),FALSE),".")),"",ROUNDDOWN(_xlfn.NUMBERVALUE(VLOOKUP($A32,benchmark_1[#All],COLUMN(),FALSE),"."),2))</f>
        <v/>
      </c>
      <c r="I32" s="5" t="str">
        <f>IF(Benchmark[[#This Row],[extract start]]="","",ROUNDUP(A32/Benchmark[[#This Row],[nb_feature]],0))</f>
        <v/>
      </c>
      <c r="J32" s="6" t="str">
        <f>IF(Benchmark[[#This Row],[extract start]]="","",ROUNDUP((C32-B32)*60*24,0))</f>
        <v/>
      </c>
      <c r="K32" s="6" t="str">
        <f>IF(Benchmark[[#This Row],[extract start]]="","",ROUNDUP((E32-D32)*60*24,0))</f>
        <v/>
      </c>
      <c r="L32" s="6" t="str">
        <f>IF(Benchmark[[#This Row],[extract start]]="","",ROUNDUP((G32-F32)*60*24,0))</f>
        <v/>
      </c>
      <c r="M32" s="6" t="b">
        <f>IF(Benchmark[[#This Row],[extract start]]="",FALSE,TRUE)</f>
        <v>0</v>
      </c>
      <c r="N32" t="s">
        <v>15</v>
      </c>
      <c r="O32">
        <f>VLOOKUP(Benchmark[[#This Row],[feature_type]],Variables[#All],2)</f>
        <v>30</v>
      </c>
    </row>
    <row r="33" spans="1:15" x14ac:dyDescent="0.45">
      <c r="A33">
        <v>23000</v>
      </c>
      <c r="B33" s="3" t="str">
        <f>IF(ISNA(VLOOKUP($A33,benchmark_1[#All],COLUMN(),FALSE)),"",VLOOKUP($A33,benchmark_1[#All],COLUMN(),FALSE))</f>
        <v/>
      </c>
      <c r="C33" s="3" t="str">
        <f>IF(ISNA(VLOOKUP($A33,benchmark_1[#All],COLUMN(),FALSE)),"",VLOOKUP($A33,benchmark_1[#All],COLUMN(),FALSE))</f>
        <v/>
      </c>
      <c r="D33" s="3" t="str">
        <f>IF(ISNA(VLOOKUP($A33,benchmark_1[#All],COLUMN(),FALSE)),"",VLOOKUP($A33,benchmark_1[#All],COLUMN(),FALSE))</f>
        <v/>
      </c>
      <c r="E33" s="3" t="str">
        <f>IF(ISNA(VLOOKUP($A33,benchmark_1[#All],COLUMN(),FALSE)),"",VLOOKUP($A33,benchmark_1[#All],COLUMN(),FALSE))</f>
        <v/>
      </c>
      <c r="F33" s="3" t="str">
        <f>IF(ISNA(VLOOKUP($A33,benchmark_1[#All],COLUMN(),FALSE)),"",VLOOKUP($A33,benchmark_1[#All],COLUMN(),FALSE))</f>
        <v/>
      </c>
      <c r="G33" s="3" t="str">
        <f>IF(ISNA(VLOOKUP($A33,benchmark_1[#All],COLUMN(),FALSE)),"",VLOOKUP($A33,benchmark_1[#All],COLUMN(),FALSE))</f>
        <v/>
      </c>
      <c r="H33" s="8" t="str">
        <f>IF(ISNA(_xlfn.NUMBERVALUE(VLOOKUP($A33,benchmark_1[#All],COLUMN(),FALSE),".")),"",ROUNDDOWN(_xlfn.NUMBERVALUE(VLOOKUP($A33,benchmark_1[#All],COLUMN(),FALSE),"."),2))</f>
        <v/>
      </c>
      <c r="I33" s="5" t="str">
        <f>IF(Benchmark[[#This Row],[extract start]]="","",ROUNDUP(A33/Benchmark[[#This Row],[nb_feature]],0))</f>
        <v/>
      </c>
      <c r="J33" s="6" t="str">
        <f>IF(Benchmark[[#This Row],[extract start]]="","",ROUNDUP((C33-B33)*60*24,0))</f>
        <v/>
      </c>
      <c r="K33" s="6" t="str">
        <f>IF(Benchmark[[#This Row],[extract start]]="","",ROUNDUP((E33-D33)*60*24,0))</f>
        <v/>
      </c>
      <c r="L33" s="6" t="str">
        <f>IF(Benchmark[[#This Row],[extract start]]="","",ROUNDUP((G33-F33)*60*24,0))</f>
        <v/>
      </c>
      <c r="M33" s="6" t="b">
        <f>IF(Benchmark[[#This Row],[extract start]]="",FALSE,TRUE)</f>
        <v>0</v>
      </c>
      <c r="N33" t="s">
        <v>15</v>
      </c>
      <c r="O33">
        <f>VLOOKUP(Benchmark[[#This Row],[feature_type]],Variables[#All],2)</f>
        <v>30</v>
      </c>
    </row>
    <row r="34" spans="1:15" x14ac:dyDescent="0.45">
      <c r="A34">
        <v>24000</v>
      </c>
      <c r="B34" s="3" t="str">
        <f>IF(ISNA(VLOOKUP($A34,benchmark_1[#All],COLUMN(),FALSE)),"",VLOOKUP($A34,benchmark_1[#All],COLUMN(),FALSE))</f>
        <v/>
      </c>
      <c r="C34" s="3" t="str">
        <f>IF(ISNA(VLOOKUP($A34,benchmark_1[#All],COLUMN(),FALSE)),"",VLOOKUP($A34,benchmark_1[#All],COLUMN(),FALSE))</f>
        <v/>
      </c>
      <c r="D34" s="3" t="str">
        <f>IF(ISNA(VLOOKUP($A34,benchmark_1[#All],COLUMN(),FALSE)),"",VLOOKUP($A34,benchmark_1[#All],COLUMN(),FALSE))</f>
        <v/>
      </c>
      <c r="E34" s="3" t="str">
        <f>IF(ISNA(VLOOKUP($A34,benchmark_1[#All],COLUMN(),FALSE)),"",VLOOKUP($A34,benchmark_1[#All],COLUMN(),FALSE))</f>
        <v/>
      </c>
      <c r="F34" s="3" t="str">
        <f>IF(ISNA(VLOOKUP($A34,benchmark_1[#All],COLUMN(),FALSE)),"",VLOOKUP($A34,benchmark_1[#All],COLUMN(),FALSE))</f>
        <v/>
      </c>
      <c r="G34" s="3" t="str">
        <f>IF(ISNA(VLOOKUP($A34,benchmark_1[#All],COLUMN(),FALSE)),"",VLOOKUP($A34,benchmark_1[#All],COLUMN(),FALSE))</f>
        <v/>
      </c>
      <c r="H34" s="8" t="str">
        <f>IF(ISNA(_xlfn.NUMBERVALUE(VLOOKUP($A34,benchmark_1[#All],COLUMN(),FALSE),".")),"",ROUNDDOWN(_xlfn.NUMBERVALUE(VLOOKUP($A34,benchmark_1[#All],COLUMN(),FALSE),"."),2))</f>
        <v/>
      </c>
      <c r="I34" s="5" t="str">
        <f>IF(Benchmark[[#This Row],[extract start]]="","",ROUNDUP(A34/Benchmark[[#This Row],[nb_feature]],0))</f>
        <v/>
      </c>
      <c r="J34" s="6" t="str">
        <f>IF(Benchmark[[#This Row],[extract start]]="","",ROUNDUP((C34-B34)*60*24,0))</f>
        <v/>
      </c>
      <c r="K34" s="6" t="str">
        <f>IF(Benchmark[[#This Row],[extract start]]="","",ROUNDUP((E34-D34)*60*24,0))</f>
        <v/>
      </c>
      <c r="L34" s="6" t="str">
        <f>IF(Benchmark[[#This Row],[extract start]]="","",ROUNDUP((G34-F34)*60*24,0))</f>
        <v/>
      </c>
      <c r="M34" s="6" t="b">
        <f>IF(Benchmark[[#This Row],[extract start]]="",FALSE,TRUE)</f>
        <v>0</v>
      </c>
      <c r="N34" t="s">
        <v>15</v>
      </c>
      <c r="O34">
        <f>VLOOKUP(Benchmark[[#This Row],[feature_type]],Variables[#All],2)</f>
        <v>30</v>
      </c>
    </row>
    <row r="35" spans="1:15" x14ac:dyDescent="0.45">
      <c r="A35">
        <v>25000</v>
      </c>
      <c r="B35" s="3" t="str">
        <f>IF(ISNA(VLOOKUP($A35,benchmark_1[#All],COLUMN(),FALSE)),"",VLOOKUP($A35,benchmark_1[#All],COLUMN(),FALSE))</f>
        <v/>
      </c>
      <c r="C35" s="3" t="str">
        <f>IF(ISNA(VLOOKUP($A35,benchmark_1[#All],COLUMN(),FALSE)),"",VLOOKUP($A35,benchmark_1[#All],COLUMN(),FALSE))</f>
        <v/>
      </c>
      <c r="D35" s="3" t="str">
        <f>IF(ISNA(VLOOKUP($A35,benchmark_1[#All],COLUMN(),FALSE)),"",VLOOKUP($A35,benchmark_1[#All],COLUMN(),FALSE))</f>
        <v/>
      </c>
      <c r="E35" s="3" t="str">
        <f>IF(ISNA(VLOOKUP($A35,benchmark_1[#All],COLUMN(),FALSE)),"",VLOOKUP($A35,benchmark_1[#All],COLUMN(),FALSE))</f>
        <v/>
      </c>
      <c r="F35" s="3" t="str">
        <f>IF(ISNA(VLOOKUP($A35,benchmark_1[#All],COLUMN(),FALSE)),"",VLOOKUP($A35,benchmark_1[#All],COLUMN(),FALSE))</f>
        <v/>
      </c>
      <c r="G35" s="3" t="str">
        <f>IF(ISNA(VLOOKUP($A35,benchmark_1[#All],COLUMN(),FALSE)),"",VLOOKUP($A35,benchmark_1[#All],COLUMN(),FALSE))</f>
        <v/>
      </c>
      <c r="H35" s="8" t="str">
        <f>IF(ISNA(_xlfn.NUMBERVALUE(VLOOKUP($A35,benchmark_1[#All],COLUMN(),FALSE),".")),"",ROUNDDOWN(_xlfn.NUMBERVALUE(VLOOKUP($A35,benchmark_1[#All],COLUMN(),FALSE),"."),2))</f>
        <v/>
      </c>
      <c r="I35" s="5" t="str">
        <f>IF(Benchmark[[#This Row],[extract start]]="","",ROUNDUP(A35/Benchmark[[#This Row],[nb_feature]],0))</f>
        <v/>
      </c>
      <c r="J35" s="6" t="str">
        <f>IF(Benchmark[[#This Row],[extract start]]="","",ROUNDUP((C35-B35)*60*24,0))</f>
        <v/>
      </c>
      <c r="K35" s="6" t="str">
        <f>IF(Benchmark[[#This Row],[extract start]]="","",ROUNDUP((E35-D35)*60*24,0))</f>
        <v/>
      </c>
      <c r="L35" s="6" t="str">
        <f>IF(Benchmark[[#This Row],[extract start]]="","",ROUNDUP((G35-F35)*60*24,0))</f>
        <v/>
      </c>
      <c r="M35" s="6" t="b">
        <f>IF(Benchmark[[#This Row],[extract start]]="",FALSE,TRUE)</f>
        <v>0</v>
      </c>
      <c r="N35" t="s">
        <v>15</v>
      </c>
      <c r="O35">
        <f>VLOOKUP(Benchmark[[#This Row],[feature_type]],Variables[#All],2)</f>
        <v>30</v>
      </c>
    </row>
    <row r="36" spans="1:15" x14ac:dyDescent="0.45">
      <c r="A36">
        <v>26000</v>
      </c>
      <c r="B36" s="3" t="str">
        <f>IF(ISNA(VLOOKUP($A36,benchmark_1[#All],COLUMN(),FALSE)),"",VLOOKUP($A36,benchmark_1[#All],COLUMN(),FALSE))</f>
        <v/>
      </c>
      <c r="C36" s="3" t="str">
        <f>IF(ISNA(VLOOKUP($A36,benchmark_1[#All],COLUMN(),FALSE)),"",VLOOKUP($A36,benchmark_1[#All],COLUMN(),FALSE))</f>
        <v/>
      </c>
      <c r="D36" s="3" t="str">
        <f>IF(ISNA(VLOOKUP($A36,benchmark_1[#All],COLUMN(),FALSE)),"",VLOOKUP($A36,benchmark_1[#All],COLUMN(),FALSE))</f>
        <v/>
      </c>
      <c r="E36" s="3" t="str">
        <f>IF(ISNA(VLOOKUP($A36,benchmark_1[#All],COLUMN(),FALSE)),"",VLOOKUP($A36,benchmark_1[#All],COLUMN(),FALSE))</f>
        <v/>
      </c>
      <c r="F36" s="3" t="str">
        <f>IF(ISNA(VLOOKUP($A36,benchmark_1[#All],COLUMN(),FALSE)),"",VLOOKUP($A36,benchmark_1[#All],COLUMN(),FALSE))</f>
        <v/>
      </c>
      <c r="G36" s="3" t="str">
        <f>IF(ISNA(VLOOKUP($A36,benchmark_1[#All],COLUMN(),FALSE)),"",VLOOKUP($A36,benchmark_1[#All],COLUMN(),FALSE))</f>
        <v/>
      </c>
      <c r="H36" s="8" t="str">
        <f>IF(ISNA(_xlfn.NUMBERVALUE(VLOOKUP($A36,benchmark_1[#All],COLUMN(),FALSE),".")),"",ROUNDDOWN(_xlfn.NUMBERVALUE(VLOOKUP($A36,benchmark_1[#All],COLUMN(),FALSE),"."),2))</f>
        <v/>
      </c>
      <c r="I36" s="5" t="str">
        <f>IF(Benchmark[[#This Row],[extract start]]="","",ROUNDUP(A36/Benchmark[[#This Row],[nb_feature]],0))</f>
        <v/>
      </c>
      <c r="J36" s="6" t="str">
        <f>IF(Benchmark[[#This Row],[extract start]]="","",ROUNDUP((C36-B36)*60*24,0))</f>
        <v/>
      </c>
      <c r="K36" s="6" t="str">
        <f>IF(Benchmark[[#This Row],[extract start]]="","",ROUNDUP((E36-D36)*60*24,0))</f>
        <v/>
      </c>
      <c r="L36" s="6" t="str">
        <f>IF(Benchmark[[#This Row],[extract start]]="","",ROUNDUP((G36-F36)*60*24,0))</f>
        <v/>
      </c>
      <c r="M36" s="6" t="b">
        <f>IF(Benchmark[[#This Row],[extract start]]="",FALSE,TRUE)</f>
        <v>0</v>
      </c>
      <c r="N36" t="s">
        <v>15</v>
      </c>
      <c r="O36">
        <f>VLOOKUP(Benchmark[[#This Row],[feature_type]],Variables[#All],2)</f>
        <v>30</v>
      </c>
    </row>
    <row r="37" spans="1:15" x14ac:dyDescent="0.45">
      <c r="A37">
        <v>27000</v>
      </c>
      <c r="B37" s="3" t="str">
        <f>IF(ISNA(VLOOKUP($A37,benchmark_1[#All],COLUMN(),FALSE)),"",VLOOKUP($A37,benchmark_1[#All],COLUMN(),FALSE))</f>
        <v/>
      </c>
      <c r="C37" s="3" t="str">
        <f>IF(ISNA(VLOOKUP($A37,benchmark_1[#All],COLUMN(),FALSE)),"",VLOOKUP($A37,benchmark_1[#All],COLUMN(),FALSE))</f>
        <v/>
      </c>
      <c r="D37" s="3" t="str">
        <f>IF(ISNA(VLOOKUP($A37,benchmark_1[#All],COLUMN(),FALSE)),"",VLOOKUP($A37,benchmark_1[#All],COLUMN(),FALSE))</f>
        <v/>
      </c>
      <c r="E37" s="3" t="str">
        <f>IF(ISNA(VLOOKUP($A37,benchmark_1[#All],COLUMN(),FALSE)),"",VLOOKUP($A37,benchmark_1[#All],COLUMN(),FALSE))</f>
        <v/>
      </c>
      <c r="F37" s="3" t="str">
        <f>IF(ISNA(VLOOKUP($A37,benchmark_1[#All],COLUMN(),FALSE)),"",VLOOKUP($A37,benchmark_1[#All],COLUMN(),FALSE))</f>
        <v/>
      </c>
      <c r="G37" s="3" t="str">
        <f>IF(ISNA(VLOOKUP($A37,benchmark_1[#All],COLUMN(),FALSE)),"",VLOOKUP($A37,benchmark_1[#All],COLUMN(),FALSE))</f>
        <v/>
      </c>
      <c r="H37" s="8" t="str">
        <f>IF(ISNA(_xlfn.NUMBERVALUE(VLOOKUP($A37,benchmark_1[#All],COLUMN(),FALSE),".")),"",ROUNDDOWN(_xlfn.NUMBERVALUE(VLOOKUP($A37,benchmark_1[#All],COLUMN(),FALSE),"."),2))</f>
        <v/>
      </c>
      <c r="I37" s="5" t="str">
        <f>IF(Benchmark[[#This Row],[extract start]]="","",ROUNDUP(A37/Benchmark[[#This Row],[nb_feature]],0))</f>
        <v/>
      </c>
      <c r="J37" s="6" t="str">
        <f>IF(Benchmark[[#This Row],[extract start]]="","",ROUNDUP((C37-B37)*60*24,0))</f>
        <v/>
      </c>
      <c r="K37" s="6" t="str">
        <f>IF(Benchmark[[#This Row],[extract start]]="","",ROUNDUP((E37-D37)*60*24,0))</f>
        <v/>
      </c>
      <c r="L37" s="6" t="str">
        <f>IF(Benchmark[[#This Row],[extract start]]="","",ROUNDUP((G37-F37)*60*24,0))</f>
        <v/>
      </c>
      <c r="M37" s="6" t="b">
        <f>IF(Benchmark[[#This Row],[extract start]]="",FALSE,TRUE)</f>
        <v>0</v>
      </c>
      <c r="N37" t="s">
        <v>15</v>
      </c>
      <c r="O37">
        <f>VLOOKUP(Benchmark[[#This Row],[feature_type]],Variables[#All],2)</f>
        <v>30</v>
      </c>
    </row>
    <row r="38" spans="1:15" x14ac:dyDescent="0.45">
      <c r="A38">
        <v>28000</v>
      </c>
      <c r="B38" s="3" t="str">
        <f>IF(ISNA(VLOOKUP($A38,benchmark_1[#All],COLUMN(),FALSE)),"",VLOOKUP($A38,benchmark_1[#All],COLUMN(),FALSE))</f>
        <v/>
      </c>
      <c r="C38" s="3" t="str">
        <f>IF(ISNA(VLOOKUP($A38,benchmark_1[#All],COLUMN(),FALSE)),"",VLOOKUP($A38,benchmark_1[#All],COLUMN(),FALSE))</f>
        <v/>
      </c>
      <c r="D38" s="3" t="str">
        <f>IF(ISNA(VLOOKUP($A38,benchmark_1[#All],COLUMN(),FALSE)),"",VLOOKUP($A38,benchmark_1[#All],COLUMN(),FALSE))</f>
        <v/>
      </c>
      <c r="E38" s="3" t="str">
        <f>IF(ISNA(VLOOKUP($A38,benchmark_1[#All],COLUMN(),FALSE)),"",VLOOKUP($A38,benchmark_1[#All],COLUMN(),FALSE))</f>
        <v/>
      </c>
      <c r="F38" s="3" t="str">
        <f>IF(ISNA(VLOOKUP($A38,benchmark_1[#All],COLUMN(),FALSE)),"",VLOOKUP($A38,benchmark_1[#All],COLUMN(),FALSE))</f>
        <v/>
      </c>
      <c r="G38" s="3" t="str">
        <f>IF(ISNA(VLOOKUP($A38,benchmark_1[#All],COLUMN(),FALSE)),"",VLOOKUP($A38,benchmark_1[#All],COLUMN(),FALSE))</f>
        <v/>
      </c>
      <c r="H38" s="8" t="str">
        <f>IF(ISNA(_xlfn.NUMBERVALUE(VLOOKUP($A38,benchmark_1[#All],COLUMN(),FALSE),".")),"",ROUNDDOWN(_xlfn.NUMBERVALUE(VLOOKUP($A38,benchmark_1[#All],COLUMN(),FALSE),"."),2))</f>
        <v/>
      </c>
      <c r="I38" s="5" t="str">
        <f>IF(Benchmark[[#This Row],[extract start]]="","",ROUNDUP(A38/Benchmark[[#This Row],[nb_feature]],0))</f>
        <v/>
      </c>
      <c r="J38" s="6" t="str">
        <f>IF(Benchmark[[#This Row],[extract start]]="","",ROUNDUP((C38-B38)*60*24,0))</f>
        <v/>
      </c>
      <c r="K38" s="6" t="str">
        <f>IF(Benchmark[[#This Row],[extract start]]="","",ROUNDUP((E38-D38)*60*24,0))</f>
        <v/>
      </c>
      <c r="L38" s="6" t="str">
        <f>IF(Benchmark[[#This Row],[extract start]]="","",ROUNDUP((G38-F38)*60*24,0))</f>
        <v/>
      </c>
      <c r="M38" s="6" t="b">
        <f>IF(Benchmark[[#This Row],[extract start]]="",FALSE,TRUE)</f>
        <v>0</v>
      </c>
      <c r="N38" t="s">
        <v>15</v>
      </c>
      <c r="O38">
        <f>VLOOKUP(Benchmark[[#This Row],[feature_type]],Variables[#All],2)</f>
        <v>30</v>
      </c>
    </row>
    <row r="39" spans="1:15" x14ac:dyDescent="0.45">
      <c r="A39">
        <v>29000</v>
      </c>
      <c r="B39" s="3" t="str">
        <f>IF(ISNA(VLOOKUP($A39,benchmark_1[#All],COLUMN(),FALSE)),"",VLOOKUP($A39,benchmark_1[#All],COLUMN(),FALSE))</f>
        <v/>
      </c>
      <c r="C39" s="3" t="str">
        <f>IF(ISNA(VLOOKUP($A39,benchmark_1[#All],COLUMN(),FALSE)),"",VLOOKUP($A39,benchmark_1[#All],COLUMN(),FALSE))</f>
        <v/>
      </c>
      <c r="D39" s="3" t="str">
        <f>IF(ISNA(VLOOKUP($A39,benchmark_1[#All],COLUMN(),FALSE)),"",VLOOKUP($A39,benchmark_1[#All],COLUMN(),FALSE))</f>
        <v/>
      </c>
      <c r="E39" s="3" t="str">
        <f>IF(ISNA(VLOOKUP($A39,benchmark_1[#All],COLUMN(),FALSE)),"",VLOOKUP($A39,benchmark_1[#All],COLUMN(),FALSE))</f>
        <v/>
      </c>
      <c r="F39" s="3" t="str">
        <f>IF(ISNA(VLOOKUP($A39,benchmark_1[#All],COLUMN(),FALSE)),"",VLOOKUP($A39,benchmark_1[#All],COLUMN(),FALSE))</f>
        <v/>
      </c>
      <c r="G39" s="3" t="str">
        <f>IF(ISNA(VLOOKUP($A39,benchmark_1[#All],COLUMN(),FALSE)),"",VLOOKUP($A39,benchmark_1[#All],COLUMN(),FALSE))</f>
        <v/>
      </c>
      <c r="H39" s="8" t="str">
        <f>IF(ISNA(_xlfn.NUMBERVALUE(VLOOKUP($A39,benchmark_1[#All],COLUMN(),FALSE),".")),"",ROUNDDOWN(_xlfn.NUMBERVALUE(VLOOKUP($A39,benchmark_1[#All],COLUMN(),FALSE),"."),2))</f>
        <v/>
      </c>
      <c r="I39" s="5" t="str">
        <f>IF(Benchmark[[#This Row],[extract start]]="","",ROUNDUP(A39/Benchmark[[#This Row],[nb_feature]],0))</f>
        <v/>
      </c>
      <c r="J39" s="6" t="str">
        <f>IF(Benchmark[[#This Row],[extract start]]="","",ROUNDUP((C39-B39)*60*24,0))</f>
        <v/>
      </c>
      <c r="K39" s="6" t="str">
        <f>IF(Benchmark[[#This Row],[extract start]]="","",ROUNDUP((E39-D39)*60*24,0))</f>
        <v/>
      </c>
      <c r="L39" s="6" t="str">
        <f>IF(Benchmark[[#This Row],[extract start]]="","",ROUNDUP((G39-F39)*60*24,0))</f>
        <v/>
      </c>
      <c r="M39" s="6" t="b">
        <f>IF(Benchmark[[#This Row],[extract start]]="",FALSE,TRUE)</f>
        <v>0</v>
      </c>
      <c r="N39" t="s">
        <v>15</v>
      </c>
      <c r="O39">
        <f>VLOOKUP(Benchmark[[#This Row],[feature_type]],Variables[#All],2)</f>
        <v>30</v>
      </c>
    </row>
    <row r="40" spans="1:15" x14ac:dyDescent="0.45">
      <c r="A40">
        <v>30000</v>
      </c>
      <c r="B40" s="3" t="str">
        <f>IF(ISNA(VLOOKUP($A40,benchmark_1[#All],COLUMN(),FALSE)),"",VLOOKUP($A40,benchmark_1[#All],COLUMN(),FALSE))</f>
        <v/>
      </c>
      <c r="C40" s="3" t="str">
        <f>IF(ISNA(VLOOKUP($A40,benchmark_1[#All],COLUMN(),FALSE)),"",VLOOKUP($A40,benchmark_1[#All],COLUMN(),FALSE))</f>
        <v/>
      </c>
      <c r="D40" s="3" t="str">
        <f>IF(ISNA(VLOOKUP($A40,benchmark_1[#All],COLUMN(),FALSE)),"",VLOOKUP($A40,benchmark_1[#All],COLUMN(),FALSE))</f>
        <v/>
      </c>
      <c r="E40" s="3" t="str">
        <f>IF(ISNA(VLOOKUP($A40,benchmark_1[#All],COLUMN(),FALSE)),"",VLOOKUP($A40,benchmark_1[#All],COLUMN(),FALSE))</f>
        <v/>
      </c>
      <c r="F40" s="3" t="str">
        <f>IF(ISNA(VLOOKUP($A40,benchmark_1[#All],COLUMN(),FALSE)),"",VLOOKUP($A40,benchmark_1[#All],COLUMN(),FALSE))</f>
        <v/>
      </c>
      <c r="G40" s="3" t="str">
        <f>IF(ISNA(VLOOKUP($A40,benchmark_1[#All],COLUMN(),FALSE)),"",VLOOKUP($A40,benchmark_1[#All],COLUMN(),FALSE))</f>
        <v/>
      </c>
      <c r="H40" s="8" t="str">
        <f>IF(ISNA(_xlfn.NUMBERVALUE(VLOOKUP($A40,benchmark_1[#All],COLUMN(),FALSE),".")),"",ROUNDDOWN(_xlfn.NUMBERVALUE(VLOOKUP($A40,benchmark_1[#All],COLUMN(),FALSE),"."),2))</f>
        <v/>
      </c>
      <c r="I40" s="5" t="str">
        <f>IF(Benchmark[[#This Row],[extract start]]="","",ROUNDUP(A40/Benchmark[[#This Row],[nb_feature]],0))</f>
        <v/>
      </c>
      <c r="J40" s="6" t="str">
        <f>IF(Benchmark[[#This Row],[extract start]]="","",ROUNDUP((C40-B40)*60*24,0))</f>
        <v/>
      </c>
      <c r="K40" s="6" t="str">
        <f>IF(Benchmark[[#This Row],[extract start]]="","",ROUNDUP((E40-D40)*60*24,0))</f>
        <v/>
      </c>
      <c r="L40" s="6" t="str">
        <f>IF(Benchmark[[#This Row],[extract start]]="","",ROUNDUP((G40-F40)*60*24,0))</f>
        <v/>
      </c>
      <c r="M40" s="6" t="b">
        <f>IF(Benchmark[[#This Row],[extract start]]="",FALSE,TRUE)</f>
        <v>0</v>
      </c>
      <c r="N40" t="s">
        <v>15</v>
      </c>
      <c r="O40">
        <f>VLOOKUP(Benchmark[[#This Row],[feature_type]],Variables[#All],2)</f>
        <v>30</v>
      </c>
    </row>
  </sheetData>
  <pageMargins left="0.7" right="0.7" top="0.75" bottom="0.75" header="0.3" footer="0.3"/>
  <pageSetup orientation="portrait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9"/>
  <sheetViews>
    <sheetView workbookViewId="0">
      <selection sqref="A1:H9"/>
    </sheetView>
  </sheetViews>
  <sheetFormatPr baseColWidth="10" defaultRowHeight="14.25" x14ac:dyDescent="0.45"/>
  <cols>
    <col min="1" max="1" width="13" bestFit="1" customWidth="1"/>
    <col min="2" max="2" width="17.86328125" bestFit="1" customWidth="1"/>
    <col min="3" max="3" width="17.265625" bestFit="1" customWidth="1"/>
    <col min="4" max="4" width="16.06640625" bestFit="1" customWidth="1"/>
    <col min="5" max="5" width="15.46484375" bestFit="1" customWidth="1"/>
    <col min="6" max="6" width="15.3984375" bestFit="1" customWidth="1"/>
    <col min="7" max="7" width="14.796875" bestFit="1" customWidth="1"/>
    <col min="8" max="8" width="19.265625" bestFit="1" customWidth="1"/>
  </cols>
  <sheetData>
    <row r="1" spans="1:8" x14ac:dyDescent="0.45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6</v>
      </c>
    </row>
    <row r="2" spans="1:8" x14ac:dyDescent="0.45">
      <c r="A2" s="6">
        <v>100</v>
      </c>
      <c r="B2" s="7">
        <v>0.46307190972222223</v>
      </c>
      <c r="C2" s="7">
        <v>0.46450456018518521</v>
      </c>
      <c r="D2" s="7">
        <v>0.46450466435185184</v>
      </c>
      <c r="E2" s="7">
        <v>0.46472123842592594</v>
      </c>
      <c r="F2" s="7">
        <v>0.46483652777777779</v>
      </c>
      <c r="G2" s="7">
        <v>0.46547378472222223</v>
      </c>
      <c r="H2" s="6" t="s">
        <v>26</v>
      </c>
    </row>
    <row r="3" spans="1:8" x14ac:dyDescent="0.45">
      <c r="A3" s="6">
        <v>200</v>
      </c>
      <c r="B3" s="7">
        <v>0.46559223379629627</v>
      </c>
      <c r="C3" s="7">
        <v>0.46861157407407406</v>
      </c>
      <c r="D3" s="7">
        <v>0.46861171296296295</v>
      </c>
      <c r="E3" s="7">
        <v>0.4695916087962963</v>
      </c>
      <c r="F3" s="7">
        <v>0.46998443287037039</v>
      </c>
      <c r="G3" s="7">
        <v>0.47292587962962962</v>
      </c>
      <c r="H3" s="6" t="s">
        <v>27</v>
      </c>
    </row>
    <row r="4" spans="1:8" x14ac:dyDescent="0.45">
      <c r="A4" s="6">
        <v>300</v>
      </c>
      <c r="B4" s="7">
        <v>0.47311120370370369</v>
      </c>
      <c r="C4" s="7">
        <v>0.47774504629629627</v>
      </c>
      <c r="D4" s="7">
        <v>0.47774523148148146</v>
      </c>
      <c r="E4" s="7">
        <v>0.47986199074074076</v>
      </c>
      <c r="F4" s="7">
        <v>0.48059688657407407</v>
      </c>
      <c r="G4" s="7">
        <v>0.48637938657407409</v>
      </c>
      <c r="H4" s="6" t="s">
        <v>28</v>
      </c>
    </row>
    <row r="5" spans="1:8" x14ac:dyDescent="0.45">
      <c r="A5" s="6">
        <v>400</v>
      </c>
      <c r="B5" s="7">
        <v>0.48662572916666669</v>
      </c>
      <c r="C5" s="7">
        <v>0.49300707175925929</v>
      </c>
      <c r="D5" s="7">
        <v>0.4930073611111111</v>
      </c>
      <c r="E5" s="7">
        <v>0.49697302083333333</v>
      </c>
      <c r="F5" s="7">
        <v>0.49827454861111109</v>
      </c>
      <c r="G5" s="7">
        <v>0.5093553472222222</v>
      </c>
      <c r="H5" s="6" t="s">
        <v>35</v>
      </c>
    </row>
    <row r="6" spans="1:8" x14ac:dyDescent="0.45">
      <c r="A6" s="6">
        <v>500</v>
      </c>
      <c r="B6" s="7">
        <v>0.50973484953703707</v>
      </c>
      <c r="C6" s="7">
        <v>0.51778631944444442</v>
      </c>
      <c r="D6" s="7">
        <v>0.51778662037037038</v>
      </c>
      <c r="E6" s="7">
        <v>0.52416277777777776</v>
      </c>
      <c r="F6" s="7">
        <v>0.52626938657407407</v>
      </c>
      <c r="G6" s="7">
        <v>0.54396456018518513</v>
      </c>
      <c r="H6" s="6" t="s">
        <v>36</v>
      </c>
    </row>
    <row r="7" spans="1:8" x14ac:dyDescent="0.45">
      <c r="A7" s="6">
        <v>600</v>
      </c>
      <c r="B7" s="7">
        <v>0.5443816782407408</v>
      </c>
      <c r="C7" s="7">
        <v>0.55353508101851856</v>
      </c>
      <c r="D7" s="7">
        <v>0.5535353819444444</v>
      </c>
      <c r="E7" s="7">
        <v>0.56223564814814819</v>
      </c>
      <c r="F7" s="7">
        <v>0.56495314814814812</v>
      </c>
      <c r="G7" s="7">
        <v>0.59055854166666666</v>
      </c>
      <c r="H7" s="6" t="s">
        <v>37</v>
      </c>
    </row>
    <row r="8" spans="1:8" x14ac:dyDescent="0.45">
      <c r="A8" s="6">
        <v>700</v>
      </c>
      <c r="B8" s="7">
        <v>0.59102850694444442</v>
      </c>
      <c r="C8" s="7">
        <v>0.60204583333333328</v>
      </c>
      <c r="D8" s="7">
        <v>0.60204623842592597</v>
      </c>
      <c r="E8" s="7">
        <v>0.61368206018518523</v>
      </c>
      <c r="F8" s="7">
        <v>0.61728017361111109</v>
      </c>
      <c r="G8" s="7">
        <v>0.64965848379629632</v>
      </c>
      <c r="H8" s="6" t="s">
        <v>38</v>
      </c>
    </row>
    <row r="9" spans="1:8" x14ac:dyDescent="0.45">
      <c r="A9" s="6">
        <v>800</v>
      </c>
      <c r="B9" s="7">
        <v>0.65019969907407404</v>
      </c>
      <c r="C9" s="7">
        <v>0.66259495370370369</v>
      </c>
      <c r="D9" s="7">
        <v>0.66259531250000003</v>
      </c>
      <c r="E9" s="7">
        <v>0.67824283564814813</v>
      </c>
      <c r="F9" s="7">
        <v>0.68289353009259257</v>
      </c>
      <c r="G9" s="7">
        <v>0.72393718750000002</v>
      </c>
      <c r="H9" s="6" t="s">
        <v>46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062762-E666-4428-862F-24D7E7F3D1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Graph</vt:lpstr>
      <vt:lpstr>Calcul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jean-louis quéguiner</dc:creator>
  <cp:lastModifiedBy>jean-louis quéguiner</cp:lastModifiedBy>
  <dcterms:created xsi:type="dcterms:W3CDTF">2016-03-26T12:51:29Z</dcterms:created>
  <dcterms:modified xsi:type="dcterms:W3CDTF">2016-03-26T22:05:52Z</dcterms:modified>
</cp:coreProperties>
</file>